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drawings/drawing7.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https://d.docs.live.net/269b7ccf4456a339/Desktop/Madeline/Assignment/"/>
    </mc:Choice>
  </mc:AlternateContent>
  <xr:revisionPtr revIDLastSave="29" documentId="8_{78D12426-43C2-4AD2-BC53-BFEEC49BEF7A}" xr6:coauthVersionLast="47" xr6:coauthVersionMax="47" xr10:uidLastSave="{0A73D024-4234-4E26-BD21-C2E93BFA1F8B}"/>
  <bookViews>
    <workbookView xWindow="-108" yWindow="-108" windowWidth="23256" windowHeight="12456" activeTab="10" xr2:uid="{00000000-000D-0000-FFFF-FFFF00000000}"/>
  </bookViews>
  <sheets>
    <sheet name="Dashboard" sheetId="2" r:id="rId1"/>
    <sheet name="Sheet1" sheetId="3" state="hidden" r:id="rId2"/>
    <sheet name="Sheet2" sheetId="4" state="hidden" r:id="rId3"/>
    <sheet name="Sheet9" sheetId="11" state="hidden" r:id="rId4"/>
    <sheet name="Sheet10" sheetId="12" state="hidden" r:id="rId5"/>
    <sheet name="Sheet11" sheetId="13" state="hidden" r:id="rId6"/>
    <sheet name="Sheet12" sheetId="14" state="hidden" r:id="rId7"/>
    <sheet name="Sheet13" sheetId="15" state="hidden" r:id="rId8"/>
    <sheet name="Sheet14" sheetId="16" state="hidden" r:id="rId9"/>
    <sheet name="Sheet17" sheetId="19" state="hidden" r:id="rId10"/>
    <sheet name="Excel_jumia" sheetId="1" r:id="rId11"/>
    <sheet name="Data Analysis" sheetId="20" r:id="rId12"/>
    <sheet name="Trend Analysis" sheetId="21" r:id="rId13"/>
    <sheet name="Product performance" sheetId="23" r:id="rId14"/>
  </sheets>
  <definedNames>
    <definedName name="_xlnm._FilterDatabase" localSheetId="10" hidden="1">Excel_jumia!$A$1:$I$113</definedName>
    <definedName name="Slicer_Discount_category">#N/A</definedName>
    <definedName name="Slicer_Product">#N/A</definedName>
    <definedName name="Slicer_Rating">#N/A</definedName>
    <definedName name="Slicer_Rating_category">#N/A</definedName>
  </definedNames>
  <calcPr calcId="191029"/>
  <pivotCaches>
    <pivotCache cacheId="0" r:id="rId15"/>
  </pivotCaches>
  <extLst>
    <ext xmlns:x14="http://schemas.microsoft.com/office/spreadsheetml/2009/9/main" uri="{BBE1A952-AA13-448e-AADC-164F8A28A991}">
      <x14:slicerCaches>
        <x14:slicerCache r:id="rId16"/>
        <x14:slicerCache r:id="rId17"/>
        <x14:slicerCache r:id="rId18"/>
        <x14:slicerCache r:id="rId1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0" i="20" l="1"/>
  <c r="B9" i="20"/>
  <c r="B5" i="20"/>
  <c r="B4" i="20"/>
  <c r="B3" i="20"/>
  <c r="B2" i="20"/>
  <c r="M18" i="2"/>
  <c r="E11" i="13"/>
  <c r="E5" i="13"/>
  <c r="M11" i="2" s="1"/>
  <c r="E6" i="13"/>
  <c r="M12" i="2" s="1"/>
  <c r="E7" i="13"/>
  <c r="M16" i="2" s="1"/>
  <c r="E8" i="13"/>
  <c r="M14" i="2" s="1"/>
  <c r="E9" i="13"/>
  <c r="M17" i="2" s="1"/>
  <c r="E10" i="13"/>
  <c r="M15" i="2" s="1"/>
  <c r="D5" i="13"/>
  <c r="L11" i="2" s="1"/>
  <c r="D6" i="13"/>
  <c r="L12" i="2" s="1"/>
  <c r="D7" i="13"/>
  <c r="L16" i="2" s="1"/>
  <c r="D8" i="13"/>
  <c r="L14" i="2" s="1"/>
  <c r="D9" i="13"/>
  <c r="L17" i="2" s="1"/>
  <c r="D10" i="13"/>
  <c r="L15" i="2" s="1"/>
  <c r="D11" i="13"/>
  <c r="L18" i="2" s="1"/>
  <c r="E4" i="13"/>
  <c r="M13" i="2" s="1"/>
  <c r="D4" i="13"/>
  <c r="L13" i="2" s="1"/>
  <c r="E5" i="12"/>
  <c r="I11" i="2" s="1"/>
  <c r="F5" i="12"/>
  <c r="J11" i="2" s="1"/>
  <c r="E6" i="12"/>
  <c r="I12" i="2" s="1"/>
  <c r="F6" i="12"/>
  <c r="J12" i="2" s="1"/>
  <c r="E7" i="12"/>
  <c r="I14" i="2" s="1"/>
  <c r="F7" i="12"/>
  <c r="J14" i="2" s="1"/>
  <c r="E8" i="12"/>
  <c r="I17" i="2" s="1"/>
  <c r="F8" i="12"/>
  <c r="J17" i="2" s="1"/>
  <c r="E9" i="12"/>
  <c r="I13" i="2" s="1"/>
  <c r="F9" i="12"/>
  <c r="J13" i="2" s="1"/>
  <c r="E10" i="12"/>
  <c r="I16" i="2" s="1"/>
  <c r="F10" i="12"/>
  <c r="J16" i="2" s="1"/>
  <c r="E11" i="12"/>
  <c r="I18" i="2" s="1"/>
  <c r="F11" i="12"/>
  <c r="J18" i="2" s="1"/>
  <c r="F4" i="12"/>
  <c r="J15" i="2" s="1"/>
  <c r="E4" i="12"/>
  <c r="I15" i="2" s="1"/>
  <c r="G12" i="2"/>
  <c r="G13" i="2"/>
  <c r="G14" i="2"/>
  <c r="G15" i="2"/>
  <c r="G16" i="2"/>
  <c r="G17" i="2"/>
  <c r="G18" i="2"/>
  <c r="G11" i="2"/>
  <c r="F12" i="2"/>
  <c r="F13" i="2"/>
  <c r="F14" i="2"/>
  <c r="F15" i="2"/>
  <c r="F16" i="2"/>
  <c r="F17" i="2"/>
  <c r="F18" i="2"/>
  <c r="F11" i="2"/>
  <c r="H12" i="11"/>
  <c r="I12" i="11"/>
  <c r="G13" i="11"/>
  <c r="G14" i="11"/>
  <c r="G15" i="11"/>
  <c r="G16" i="11"/>
  <c r="G17" i="11"/>
  <c r="G18" i="11"/>
  <c r="G19" i="11"/>
  <c r="G12" i="11"/>
  <c r="B4" i="3"/>
  <c r="B3" i="3"/>
  <c r="B2" i="3"/>
  <c r="B1" i="3"/>
  <c r="I3" i="1" a="1"/>
  <c r="I3" i="1" s="1"/>
  <c r="I4" i="1" a="1"/>
  <c r="I4" i="1" s="1"/>
  <c r="I5" i="1" a="1"/>
  <c r="I5" i="1" s="1"/>
  <c r="I6" i="1" a="1"/>
  <c r="I6" i="1" s="1"/>
  <c r="I7" i="1" a="1"/>
  <c r="I7" i="1" s="1"/>
  <c r="I8" i="1" a="1"/>
  <c r="I8" i="1" s="1"/>
  <c r="I9" i="1" a="1"/>
  <c r="I9" i="1" s="1"/>
  <c r="I10" i="1" a="1"/>
  <c r="I10" i="1" s="1"/>
  <c r="I11" i="1" a="1"/>
  <c r="I11" i="1" s="1"/>
  <c r="I12" i="1" a="1"/>
  <c r="I12" i="1" s="1"/>
  <c r="I13" i="1" a="1"/>
  <c r="I13" i="1" s="1"/>
  <c r="I14" i="1" a="1"/>
  <c r="I14" i="1" s="1"/>
  <c r="I15" i="1" a="1"/>
  <c r="I15" i="1" s="1"/>
  <c r="I16" i="1" a="1"/>
  <c r="I16" i="1" s="1"/>
  <c r="I17" i="1" a="1"/>
  <c r="I17" i="1" s="1"/>
  <c r="I18" i="1" a="1"/>
  <c r="I18" i="1" s="1"/>
  <c r="I19" i="1" a="1"/>
  <c r="I19" i="1" s="1"/>
  <c r="I20" i="1" a="1"/>
  <c r="I20" i="1" s="1"/>
  <c r="I21" i="1" a="1"/>
  <c r="I21" i="1" s="1"/>
  <c r="I22" i="1" a="1"/>
  <c r="I22" i="1" s="1"/>
  <c r="I23" i="1" a="1"/>
  <c r="I23" i="1" s="1"/>
  <c r="I24" i="1" a="1"/>
  <c r="I24" i="1" s="1"/>
  <c r="I25" i="1" a="1"/>
  <c r="I25" i="1" s="1"/>
  <c r="I26" i="1" a="1"/>
  <c r="I26" i="1" s="1"/>
  <c r="I27" i="1" a="1"/>
  <c r="I27" i="1" s="1"/>
  <c r="I28" i="1" a="1"/>
  <c r="I28" i="1" s="1"/>
  <c r="I29" i="1" a="1"/>
  <c r="I29" i="1" s="1"/>
  <c r="I30" i="1" a="1"/>
  <c r="I30" i="1" s="1"/>
  <c r="I31" i="1" a="1"/>
  <c r="I31" i="1" s="1"/>
  <c r="I32" i="1" a="1"/>
  <c r="I32" i="1" s="1"/>
  <c r="I33" i="1" a="1"/>
  <c r="I33" i="1" s="1"/>
  <c r="I34" i="1" a="1"/>
  <c r="I34" i="1" s="1"/>
  <c r="I35" i="1" a="1"/>
  <c r="I35" i="1" s="1"/>
  <c r="I36" i="1" a="1"/>
  <c r="I36" i="1" s="1"/>
  <c r="I37" i="1" a="1"/>
  <c r="I37" i="1" s="1"/>
  <c r="I38" i="1" a="1"/>
  <c r="I38" i="1" s="1"/>
  <c r="I39" i="1" a="1"/>
  <c r="I39" i="1" s="1"/>
  <c r="I40" i="1" a="1"/>
  <c r="I40" i="1" s="1"/>
  <c r="I41" i="1" a="1"/>
  <c r="I41" i="1" s="1"/>
  <c r="I42" i="1" a="1"/>
  <c r="I42" i="1" s="1"/>
  <c r="I43" i="1" a="1"/>
  <c r="I43" i="1" s="1"/>
  <c r="I44" i="1" a="1"/>
  <c r="I44" i="1" s="1"/>
  <c r="I45" i="1" a="1"/>
  <c r="I45" i="1" s="1"/>
  <c r="I46" i="1" a="1"/>
  <c r="I46" i="1" s="1"/>
  <c r="I47" i="1" a="1"/>
  <c r="I47" i="1" s="1"/>
  <c r="I48" i="1" a="1"/>
  <c r="I48" i="1" s="1"/>
  <c r="I49" i="1" a="1"/>
  <c r="I49" i="1" s="1"/>
  <c r="I50" i="1" a="1"/>
  <c r="I50" i="1" s="1"/>
  <c r="I51" i="1" a="1"/>
  <c r="I51" i="1" s="1"/>
  <c r="I52" i="1" a="1"/>
  <c r="I52" i="1" s="1"/>
  <c r="I53" i="1" a="1"/>
  <c r="I53" i="1" s="1"/>
  <c r="I54" i="1" a="1"/>
  <c r="I54" i="1" s="1"/>
  <c r="I55" i="1" a="1"/>
  <c r="I55" i="1" s="1"/>
  <c r="I56" i="1" a="1"/>
  <c r="I56" i="1" s="1"/>
  <c r="I57" i="1" a="1"/>
  <c r="I57" i="1" s="1"/>
  <c r="I58" i="1" a="1"/>
  <c r="I58" i="1" s="1"/>
  <c r="I59" i="1" a="1"/>
  <c r="I59" i="1" s="1"/>
  <c r="I60" i="1" a="1"/>
  <c r="I60" i="1" s="1"/>
  <c r="I61" i="1" a="1"/>
  <c r="I61" i="1" s="1"/>
  <c r="I62" i="1" a="1"/>
  <c r="I62" i="1" s="1"/>
  <c r="I63" i="1" a="1"/>
  <c r="I63" i="1" s="1"/>
  <c r="I64" i="1" a="1"/>
  <c r="I64" i="1" s="1"/>
  <c r="I65" i="1" a="1"/>
  <c r="I65" i="1" s="1"/>
  <c r="I66" i="1" a="1"/>
  <c r="I66" i="1" s="1"/>
  <c r="I67" i="1" a="1"/>
  <c r="I67" i="1" s="1"/>
  <c r="I68" i="1" a="1"/>
  <c r="I68" i="1" s="1"/>
  <c r="I69" i="1" a="1"/>
  <c r="I69" i="1" s="1"/>
  <c r="I70" i="1" a="1"/>
  <c r="I70" i="1" s="1"/>
  <c r="I71" i="1" a="1"/>
  <c r="I71" i="1" s="1"/>
  <c r="I72" i="1" a="1"/>
  <c r="I72" i="1" s="1"/>
  <c r="I73" i="1" a="1"/>
  <c r="I73" i="1" s="1"/>
  <c r="I74" i="1" a="1"/>
  <c r="I74" i="1" s="1"/>
  <c r="I75" i="1" a="1"/>
  <c r="I75" i="1" s="1"/>
  <c r="I76" i="1" a="1"/>
  <c r="I76" i="1" s="1"/>
  <c r="I77" i="1" a="1"/>
  <c r="I77" i="1" s="1"/>
  <c r="I78" i="1" a="1"/>
  <c r="I78" i="1" s="1"/>
  <c r="I79" i="1" a="1"/>
  <c r="I79" i="1" s="1"/>
  <c r="I80" i="1" a="1"/>
  <c r="I80" i="1" s="1"/>
  <c r="I81" i="1" a="1"/>
  <c r="I81" i="1" s="1"/>
  <c r="I82" i="1" a="1"/>
  <c r="I82" i="1" s="1"/>
  <c r="I83" i="1" a="1"/>
  <c r="I83" i="1" s="1"/>
  <c r="I84" i="1" a="1"/>
  <c r="I84" i="1" s="1"/>
  <c r="I85" i="1" a="1"/>
  <c r="I85" i="1" s="1"/>
  <c r="I86" i="1" a="1"/>
  <c r="I86" i="1" s="1"/>
  <c r="I87" i="1" a="1"/>
  <c r="I87" i="1" s="1"/>
  <c r="I88" i="1" a="1"/>
  <c r="I88" i="1" s="1"/>
  <c r="I89" i="1" a="1"/>
  <c r="I89" i="1" s="1"/>
  <c r="I90" i="1" a="1"/>
  <c r="I90" i="1" s="1"/>
  <c r="I91" i="1" a="1"/>
  <c r="I91" i="1" s="1"/>
  <c r="I92" i="1" a="1"/>
  <c r="I92" i="1" s="1"/>
  <c r="I93" i="1" a="1"/>
  <c r="I93" i="1" s="1"/>
  <c r="I94" i="1" a="1"/>
  <c r="I94" i="1" s="1"/>
  <c r="I95" i="1" a="1"/>
  <c r="I95" i="1" s="1"/>
  <c r="I96" i="1" a="1"/>
  <c r="I96" i="1" s="1"/>
  <c r="I97" i="1" a="1"/>
  <c r="I97" i="1" s="1"/>
  <c r="I98" i="1" a="1"/>
  <c r="I98" i="1" s="1"/>
  <c r="I99" i="1" a="1"/>
  <c r="I99" i="1" s="1"/>
  <c r="I100" i="1" a="1"/>
  <c r="I100" i="1" s="1"/>
  <c r="I101" i="1" a="1"/>
  <c r="I101" i="1" s="1"/>
  <c r="I102" i="1" a="1"/>
  <c r="I102" i="1" s="1"/>
  <c r="I103" i="1" a="1"/>
  <c r="I103" i="1" s="1"/>
  <c r="I104" i="1" a="1"/>
  <c r="I104" i="1" s="1"/>
  <c r="I105" i="1" a="1"/>
  <c r="I105" i="1" s="1"/>
  <c r="I106" i="1" a="1"/>
  <c r="I106" i="1" s="1"/>
  <c r="I107" i="1" a="1"/>
  <c r="I107" i="1" s="1"/>
  <c r="I108" i="1" a="1"/>
  <c r="I108" i="1" s="1"/>
  <c r="I109" i="1" a="1"/>
  <c r="I109" i="1" s="1"/>
  <c r="I110" i="1" a="1"/>
  <c r="I110" i="1" s="1"/>
  <c r="I111" i="1" a="1"/>
  <c r="I111" i="1" s="1"/>
  <c r="I112" i="1" a="1"/>
  <c r="I112" i="1" s="1"/>
  <c r="I113" i="1" a="1"/>
  <c r="I113" i="1" s="1"/>
  <c r="I2" i="1" a="1"/>
  <c r="I2" i="1" s="1"/>
  <c r="H3" i="1" a="1"/>
  <c r="H3" i="1" s="1"/>
  <c r="H4" i="1" a="1"/>
  <c r="H4" i="1" s="1"/>
  <c r="H5" i="1" a="1"/>
  <c r="H5" i="1" s="1"/>
  <c r="H6" i="1" a="1"/>
  <c r="H6" i="1" s="1"/>
  <c r="H7" i="1" a="1"/>
  <c r="H7" i="1" s="1"/>
  <c r="H8" i="1" a="1"/>
  <c r="H8" i="1" s="1"/>
  <c r="H9" i="1" a="1"/>
  <c r="H9" i="1" s="1"/>
  <c r="H10" i="1" a="1"/>
  <c r="H10" i="1" s="1"/>
  <c r="H11" i="1" a="1"/>
  <c r="H11" i="1" s="1"/>
  <c r="H12" i="1" a="1"/>
  <c r="H12" i="1" s="1"/>
  <c r="H13" i="1" a="1"/>
  <c r="H13" i="1" s="1"/>
  <c r="H14" i="1" a="1"/>
  <c r="H14" i="1" s="1"/>
  <c r="H15" i="1" a="1"/>
  <c r="H15" i="1" s="1"/>
  <c r="H16" i="1" a="1"/>
  <c r="H16" i="1" s="1"/>
  <c r="H17" i="1" a="1"/>
  <c r="H17" i="1" s="1"/>
  <c r="H18" i="1" a="1"/>
  <c r="H18" i="1" s="1"/>
  <c r="H19" i="1" a="1"/>
  <c r="H19" i="1" s="1"/>
  <c r="H20" i="1" a="1"/>
  <c r="H20" i="1" s="1"/>
  <c r="H21" i="1" a="1"/>
  <c r="H21" i="1" s="1"/>
  <c r="H22" i="1" a="1"/>
  <c r="H22" i="1" s="1"/>
  <c r="H23" i="1" a="1"/>
  <c r="H23" i="1" s="1"/>
  <c r="H24" i="1" a="1"/>
  <c r="H24" i="1" s="1"/>
  <c r="H25" i="1" a="1"/>
  <c r="H25" i="1" s="1"/>
  <c r="H26" i="1" a="1"/>
  <c r="H26" i="1" s="1"/>
  <c r="H27" i="1" a="1"/>
  <c r="H27" i="1" s="1"/>
  <c r="H28" i="1" a="1"/>
  <c r="H28" i="1" s="1"/>
  <c r="H29" i="1" a="1"/>
  <c r="H29" i="1" s="1"/>
  <c r="H30" i="1" a="1"/>
  <c r="H30" i="1" s="1"/>
  <c r="H31" i="1" a="1"/>
  <c r="H31" i="1" s="1"/>
  <c r="H32" i="1" a="1"/>
  <c r="H32" i="1" s="1"/>
  <c r="H33" i="1" a="1"/>
  <c r="H33" i="1" s="1"/>
  <c r="H34" i="1" a="1"/>
  <c r="H34" i="1" s="1"/>
  <c r="H35" i="1" a="1"/>
  <c r="H35" i="1" s="1"/>
  <c r="H36" i="1" a="1"/>
  <c r="H36" i="1" s="1"/>
  <c r="H37" i="1" a="1"/>
  <c r="H37" i="1" s="1"/>
  <c r="H38" i="1" a="1"/>
  <c r="H38" i="1" s="1"/>
  <c r="H39" i="1" a="1"/>
  <c r="H39" i="1" s="1"/>
  <c r="H40" i="1" a="1"/>
  <c r="H40" i="1" s="1"/>
  <c r="H41" i="1" a="1"/>
  <c r="H41" i="1" s="1"/>
  <c r="H42" i="1" a="1"/>
  <c r="H42" i="1" s="1"/>
  <c r="H43" i="1" a="1"/>
  <c r="H43" i="1" s="1"/>
  <c r="H44" i="1" a="1"/>
  <c r="H44" i="1" s="1"/>
  <c r="H45" i="1" a="1"/>
  <c r="H45" i="1" s="1"/>
  <c r="H46" i="1" a="1"/>
  <c r="H46" i="1" s="1"/>
  <c r="H47" i="1" a="1"/>
  <c r="H47" i="1" s="1"/>
  <c r="H48" i="1" a="1"/>
  <c r="H48" i="1" s="1"/>
  <c r="H49" i="1" a="1"/>
  <c r="H49" i="1" s="1"/>
  <c r="H50" i="1" a="1"/>
  <c r="H50" i="1" s="1"/>
  <c r="H51" i="1" a="1"/>
  <c r="H51" i="1" s="1"/>
  <c r="H52" i="1" a="1"/>
  <c r="H52" i="1" s="1"/>
  <c r="H53" i="1" a="1"/>
  <c r="H53" i="1" s="1"/>
  <c r="H54" i="1" a="1"/>
  <c r="H54" i="1" s="1"/>
  <c r="H55" i="1" a="1"/>
  <c r="H55" i="1" s="1"/>
  <c r="H56" i="1" a="1"/>
  <c r="H56" i="1" s="1"/>
  <c r="H57" i="1" a="1"/>
  <c r="H57" i="1" s="1"/>
  <c r="H58" i="1" a="1"/>
  <c r="H58" i="1" s="1"/>
  <c r="H59" i="1" a="1"/>
  <c r="H59" i="1" s="1"/>
  <c r="H60" i="1" a="1"/>
  <c r="H60" i="1" s="1"/>
  <c r="H61" i="1" a="1"/>
  <c r="H61" i="1" s="1"/>
  <c r="H62" i="1" a="1"/>
  <c r="H62" i="1" s="1"/>
  <c r="H63" i="1" a="1"/>
  <c r="H63" i="1" s="1"/>
  <c r="H64" i="1" a="1"/>
  <c r="H64" i="1" s="1"/>
  <c r="H65" i="1" a="1"/>
  <c r="H65" i="1" s="1"/>
  <c r="H66" i="1" a="1"/>
  <c r="H66" i="1" s="1"/>
  <c r="H67" i="1" a="1"/>
  <c r="H67" i="1" s="1"/>
  <c r="H68" i="1" a="1"/>
  <c r="H68" i="1" s="1"/>
  <c r="H69" i="1" a="1"/>
  <c r="H69" i="1" s="1"/>
  <c r="H70" i="1" a="1"/>
  <c r="H70" i="1" s="1"/>
  <c r="H71" i="1" a="1"/>
  <c r="H71" i="1" s="1"/>
  <c r="H72" i="1" a="1"/>
  <c r="H72" i="1" s="1"/>
  <c r="H73" i="1" a="1"/>
  <c r="H73" i="1" s="1"/>
  <c r="H74" i="1" a="1"/>
  <c r="H74" i="1" s="1"/>
  <c r="H75" i="1" a="1"/>
  <c r="H75" i="1" s="1"/>
  <c r="H76" i="1" a="1"/>
  <c r="H76" i="1" s="1"/>
  <c r="H77" i="1" a="1"/>
  <c r="H77" i="1" s="1"/>
  <c r="H78" i="1" a="1"/>
  <c r="H78" i="1" s="1"/>
  <c r="H79" i="1" a="1"/>
  <c r="H79" i="1" s="1"/>
  <c r="H80" i="1" a="1"/>
  <c r="H80" i="1" s="1"/>
  <c r="H81" i="1" a="1"/>
  <c r="H81" i="1" s="1"/>
  <c r="H82" i="1" a="1"/>
  <c r="H82" i="1" s="1"/>
  <c r="H83" i="1" a="1"/>
  <c r="H83" i="1" s="1"/>
  <c r="H84" i="1" a="1"/>
  <c r="H84" i="1" s="1"/>
  <c r="H85" i="1" a="1"/>
  <c r="H85" i="1" s="1"/>
  <c r="H86" i="1" a="1"/>
  <c r="H86" i="1" s="1"/>
  <c r="H87" i="1" a="1"/>
  <c r="H87" i="1" s="1"/>
  <c r="H88" i="1" a="1"/>
  <c r="H88" i="1" s="1"/>
  <c r="H89" i="1" a="1"/>
  <c r="H89" i="1" s="1"/>
  <c r="H90" i="1" a="1"/>
  <c r="H90" i="1" s="1"/>
  <c r="H91" i="1" a="1"/>
  <c r="H91" i="1" s="1"/>
  <c r="H92" i="1" a="1"/>
  <c r="H92" i="1" s="1"/>
  <c r="H93" i="1" a="1"/>
  <c r="H93" i="1" s="1"/>
  <c r="H94" i="1" a="1"/>
  <c r="H94" i="1" s="1"/>
  <c r="H95" i="1" a="1"/>
  <c r="H95" i="1" s="1"/>
  <c r="H96" i="1" a="1"/>
  <c r="H96" i="1" s="1"/>
  <c r="H97" i="1" a="1"/>
  <c r="H97" i="1" s="1"/>
  <c r="H98" i="1" a="1"/>
  <c r="H98" i="1" s="1"/>
  <c r="H99" i="1" a="1"/>
  <c r="H99" i="1" s="1"/>
  <c r="H100" i="1" a="1"/>
  <c r="H100" i="1" s="1"/>
  <c r="H101" i="1" a="1"/>
  <c r="H101" i="1" s="1"/>
  <c r="H102" i="1" a="1"/>
  <c r="H102" i="1" s="1"/>
  <c r="H103" i="1" a="1"/>
  <c r="H103" i="1" s="1"/>
  <c r="H104" i="1" a="1"/>
  <c r="H104" i="1" s="1"/>
  <c r="H105" i="1" a="1"/>
  <c r="H105" i="1" s="1"/>
  <c r="H106" i="1" a="1"/>
  <c r="H106" i="1" s="1"/>
  <c r="H107" i="1" a="1"/>
  <c r="H107" i="1" s="1"/>
  <c r="H108" i="1" a="1"/>
  <c r="H108" i="1" s="1"/>
  <c r="H109" i="1" a="1"/>
  <c r="H109" i="1" s="1"/>
  <c r="H110" i="1" a="1"/>
  <c r="H110" i="1" s="1"/>
  <c r="H111" i="1" a="1"/>
  <c r="H111" i="1" s="1"/>
  <c r="H112" i="1" a="1"/>
  <c r="H112" i="1" s="1"/>
  <c r="H113" i="1" a="1"/>
  <c r="H113" i="1" s="1"/>
  <c r="H2" i="1" a="1"/>
  <c r="H2" i="1" s="1"/>
  <c r="C40" i="1"/>
  <c r="B40"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2" i="1"/>
  <c r="C47" i="23" l="1"/>
  <c r="B48" i="23"/>
  <c r="C48" i="23"/>
  <c r="B47" i="23"/>
  <c r="C15" i="20"/>
  <c r="B21" i="20"/>
  <c r="B16" i="20"/>
  <c r="C16" i="20"/>
  <c r="C14" i="20"/>
  <c r="B19" i="20"/>
  <c r="B20" i="20"/>
  <c r="B14" i="20"/>
  <c r="B15" i="20"/>
  <c r="D40"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<sst xmlns="http://schemas.openxmlformats.org/spreadsheetml/2006/main" count="502" uniqueCount="173">
  <si>
    <t>Product</t>
  </si>
  <si>
    <t>Current price</t>
  </si>
  <si>
    <t>old price</t>
  </si>
  <si>
    <t>Discount</t>
  </si>
  <si>
    <t>Review</t>
  </si>
  <si>
    <t>115  Piece Set Of Multifunctional Precision Screwdrivers</t>
  </si>
  <si>
    <t>Metal Decorative Hooks Key Hangers Entryway Wall Hooks Towel Hooks - Home</t>
  </si>
  <si>
    <t>Portable Mini Cordless Car Vacuum Cleaner - Blue</t>
  </si>
  <si>
    <t>Weighing Scale Digital Bathroom Body Fat Scale USB-Black</t>
  </si>
  <si>
    <t>Portable Home Small Air Humidifier 3-Speed Fan - Green</t>
  </si>
  <si>
    <t>220V 60W Electric Soldering Iron Kits With Tools, Tips, And Multimeter</t>
  </si>
  <si>
    <t>137 Pieces Cake Decorating Tool Set Baking Supplies</t>
  </si>
  <si>
    <t>Desk Foldable Fan Adjustable Fan Strong Wind 3 Gear Usb</t>
  </si>
  <si>
    <t>LASA FOLDING TABLE SERVING STAND</t>
  </si>
  <si>
    <t>13 In 1 Home Repair Tools Box Kit Set</t>
  </si>
  <si>
    <t>Genebre 115 In 1 Screwdriver Repairing Tool Set For IPhone Cellphone Hand Tool</t>
  </si>
  <si>
    <t>100 Pcs Crochet Hook Tool Set Knitting Hook Set With Box</t>
  </si>
  <si>
    <t>40cm Gold DIY Acrylic Wall Sticker Clock</t>
  </si>
  <si>
    <t>LASA Digital Thermometer And Hydrometer</t>
  </si>
  <si>
    <t>Multifunction Laser Level With Adjustment Tripod</t>
  </si>
  <si>
    <t>Anti-Skid Absorbent Insulation Coaster  For Home Office</t>
  </si>
  <si>
    <t>Peacock  Throw Pillow Cushion Case For Home Car</t>
  </si>
  <si>
    <t>LASA Aluminum Folding Truck Hand Cart - 68kg Max</t>
  </si>
  <si>
    <t>LED Wall Digital Alarm Clock Study Home 12 / 24H Clock Calendar</t>
  </si>
  <si>
    <t>3D Waterproof EVA Plastic Shower Curtain 1.8*2Mtrs</t>
  </si>
  <si>
    <t>3PCS Single Head Knitting Crochet Sweater Needle Set</t>
  </si>
  <si>
    <t>4pcs Bathroom/Kitchen Towel Rack,Roll Paper Holder,Towel Bars,Hook</t>
  </si>
  <si>
    <t>LED Romantic Spaceship Starry Sky Projector,Children's Bedroom Night Light-Blue</t>
  </si>
  <si>
    <t>Foldable Overbed Table/Desk</t>
  </si>
  <si>
    <t>LASA 3 Tier Bamboo Shoe Bench Storage Shelf</t>
  </si>
  <si>
    <t>Electronic Digital Display Vernier Caliper</t>
  </si>
  <si>
    <t>Portable Wardrobe Nonwoven With 3 Hanging Rods And 6 Storage Shelves</t>
  </si>
  <si>
    <t>12 Litre Black Insulated Lunch Box</t>
  </si>
  <si>
    <t>52 Pieces Cake Decorating Tool Set Gift Kit Baking Supplies</t>
  </si>
  <si>
    <t>MultiFunctional Storage Rack Multi-layer Bookshelf</t>
  </si>
  <si>
    <t>Exfoliate And Exfoliate Face Towel - Black</t>
  </si>
  <si>
    <t>12 Litre Insulated Lunch Box Grey</t>
  </si>
  <si>
    <t>LED Eye Protection  Desk Lamp , Study, Reading, USB Fan - Double Pen Holder</t>
  </si>
  <si>
    <t>53Pcs/Set Yarn Knitting Crochet Hooks With Bag - Fortune Cat</t>
  </si>
  <si>
    <t>53 Pieces/Set Yarn Knitting Crochet Hooks With Bag - Pansies</t>
  </si>
  <si>
    <t>DIY File Folder, Office Drawer File Holder, Pen Holder, Desktop Storage Rack</t>
  </si>
  <si>
    <t>Classic Black Cat Cotton Hemp Pillow Case For Home Car</t>
  </si>
  <si>
    <t>Punch-free Great Load Bearing Bathroom Storage Rack Wall Shelf-White</t>
  </si>
  <si>
    <t>1/2/3 Seater Elastic Sofa Cover,Living Room/Home Decor Chair Cover-Grey</t>
  </si>
  <si>
    <t>LASA Stainless Steel Double Wall Mount Soap Dispenser - 500ml</t>
  </si>
  <si>
    <t>4M Float Switch Water Level Controller -Water Tank</t>
  </si>
  <si>
    <t>Modern Sofa Throw Pillow Cover-45x45cm-Blue&amp;Red</t>
  </si>
  <si>
    <t>Balloon Insert, Birthday Party Balloon Set, PU Leather</t>
  </si>
  <si>
    <t>Shower Cap Wide Elastic Band Cover Reusable Bashroom Cap</t>
  </si>
  <si>
    <t>Christmas Elk Fence Yard Lawn Decorations Cute For Holidays</t>
  </si>
  <si>
    <t>60W Hot Melt Glue Sprayer - Efficient And Stable Glue Dispensing</t>
  </si>
  <si>
    <t>Car Phone Charging Stand</t>
  </si>
  <si>
    <t>2pcs Solar Street Light Flood Light Outdoor</t>
  </si>
  <si>
    <t>Creative Owl Shape Keychain Black</t>
  </si>
  <si>
    <t>Brush &amp; Paintbrush Cleaning Tool Pink</t>
  </si>
  <si>
    <t>Pen Grips For Kids Pen Grip Posture Correction Tool For Kids</t>
  </si>
  <si>
    <t>Pilates Cloth Bag Waterproof Durable High Capacity Purple</t>
  </si>
  <si>
    <t>Multi-purpose Rice Drainage Basket And Fruit And Vegetable Drainage Sieve</t>
  </si>
  <si>
    <t>Cute Christmas Fence Garden Decorations For Holiday Home</t>
  </si>
  <si>
    <t>Simple Metal Dog Art Sculpture Decoration For Home Office</t>
  </si>
  <si>
    <t>Christmas Fence Garden Decorations Outdoor For Holiday Home</t>
  </si>
  <si>
    <t>Angle Measuring Tool Full Metal Multi Angle Measuring Tool</t>
  </si>
  <si>
    <t>12V 19500rpm Handheld Electric Angle Grinder Tool - UK - Yellow/Black</t>
  </si>
  <si>
    <t>5 Pieces/set Of Stainless Steel Induction Cooker Pots</t>
  </si>
  <si>
    <t>Mythco 120COB Solar Wall Ligt With Motion Sensor And Remote Control 3 Modes</t>
  </si>
  <si>
    <t>5-PCS Stainless Steel Cooking Pot Set With Steamed Slices</t>
  </si>
  <si>
    <t>120W Cordless Vacuum Cleaners Handheld Electric Vacuum Cleaner</t>
  </si>
  <si>
    <t>Intelligent  LED Body Sensor Wireless Lighting Night Light USB</t>
  </si>
  <si>
    <t>VIC Wireless Vacuum Cleaner Dual Use For Home And Car 120W High Power Powerful</t>
  </si>
  <si>
    <t>Artificial Potted Flowers Room Decorative Flowers (2 Pieces)</t>
  </si>
  <si>
    <t>380ML USB Rechargeable Portable Small Blenders And Juicers</t>
  </si>
  <si>
    <t>32PCS Portable Cordless Drill Set With Cyclic Battery Drive -26 Variable Speed</t>
  </si>
  <si>
    <t>Agapeon Toothbrush Holder And Toothpaste Dispenser</t>
  </si>
  <si>
    <t>Large Lazy Inflatable Sofa Chairs PVC Lounger Seat Bag</t>
  </si>
  <si>
    <t>Watercolour Gold Foil Textured Print Pillow Cover</t>
  </si>
  <si>
    <t>Wrought Iron Bathroom Shelf Wall Mounted Free Punch Toilet Rack</t>
  </si>
  <si>
    <t>7-piece Set Of Storage Bags, Travel Storage Bags, Shoe Bags</t>
  </si>
  <si>
    <t>Electric LED UV Mosquito Killer Lamp, Outdoor/Indoor Fly Killer Trap Light -USB</t>
  </si>
  <si>
    <t>2PCS/LOT Solar LED Outdoor Intelligent Light Controlled Wall Lamp</t>
  </si>
  <si>
    <t>3PCS Rotary Scraper Thermomix For Kitchen</t>
  </si>
  <si>
    <t>Cushion Silicone Butt Cushion Summer Ice Cushion Honeycomb Gel Cushion</t>
  </si>
  <si>
    <t>7PCS Silicone Thumb Knife Finger Protector Vegetable Harvesting Knife</t>
  </si>
  <si>
    <t>Memory Foam Neck Pillow Cover, With Pillow Core - 50*30cm</t>
  </si>
  <si>
    <t>Bedroom Simple Floor Hanging Clothes Rack Single Pole Hat Rack - White</t>
  </si>
  <si>
    <t>5m Waterproof Spherical LED String Lights Outdoor Ball Chain Lights Party Lighting Decoration Adjustable</t>
  </si>
  <si>
    <t>2 Pairs Cowhide Split Leather Work Gloves.32â„‰ Or Above Welding Gloves</t>
  </si>
  <si>
    <t>Household Pineapple Peeler Peeler</t>
  </si>
  <si>
    <t>Office Chair Lumbar Back Support Spine Posture Correction Pillow Car Cushion</t>
  </si>
  <si>
    <t>Cartoon Car Decoration Cute Individuality For Car Home Desk</t>
  </si>
  <si>
    <t>Outdoor Portable Water Bottle With Medicine Box - 600ML - Black</t>
  </si>
  <si>
    <t>Wall-Mounted Toothbrush Toothpaste Holder With Multiple Slots</t>
  </si>
  <si>
    <t>Multifunctional Hanging Storage Box Storage Bag (4 Layers)</t>
  </si>
  <si>
    <t>Wall Clock With Hidden Safe Box</t>
  </si>
  <si>
    <t>Portable Wine Table With Folding Round Table</t>
  </si>
  <si>
    <t>Sewing Machine Needle Threader Stitch Insertion Tool Automatic Quick Sewing</t>
  </si>
  <si>
    <t>6 Layers Steel Pipe Assembling Dustproof Storage Shoe Cabinet</t>
  </si>
  <si>
    <t>2PCS Ice Silk Square Cushion Cover Pillowcases - 65x65cm</t>
  </si>
  <si>
    <t>Wall Mount Automatic Toothpaste Dispenser Toothbrush Holder Toothpaste Squeezer</t>
  </si>
  <si>
    <t>Portable Soap Dispenser Kitchen Detergent Press Box Kitchen Tools</t>
  </si>
  <si>
    <t>4 Piece Coloured Stainless Steel Kitchenware Set</t>
  </si>
  <si>
    <t>Metal Wall Clock Silver Dial Crystal Jewelry Round Home Decoration Wall Clock</t>
  </si>
  <si>
    <t>Baby Early Education Shape And Color Cognitive Training Toys</t>
  </si>
  <si>
    <t>8in1 Screwdriver With LED Light</t>
  </si>
  <si>
    <t>Konka Healty Electric Kettle, 24-hour Heat Preservation,1.5L,800W, White</t>
  </si>
  <si>
    <t>9pcs Gas Mask, For Painting, Dust, Formaldehyde Grinding, Polishing</t>
  </si>
  <si>
    <t>24 Grid Wall-mounted Sundries Organiser Fabric Closet Bag Storage Rack</t>
  </si>
  <si>
    <t>1PC Refrigerator Food Seal Pocket Fridge Bags</t>
  </si>
  <si>
    <t>LED Solar Street Light-fake Camera</t>
  </si>
  <si>
    <t>Cartoon Embroidered Mini Towel Bear Cotton Wash Cloth Hand 4pcs</t>
  </si>
  <si>
    <t>Shower Nozzle Cleaning Unclogging Needle Mini Crevice Small Hole Cleaning Brush</t>
  </si>
  <si>
    <t>Thickening Multipurpose Non Stick Easy To Clean Heat Resistant Spoon Pad</t>
  </si>
  <si>
    <t>6 In 1 Bottle Can Opener Multifunctional Easy Opener</t>
  </si>
  <si>
    <t>Wall-mounted Sticker Punch-free Plug Fixer</t>
  </si>
  <si>
    <t>Black Simple Water Cup Wine Coaster Anti Slip Absorbent</t>
  </si>
  <si>
    <t>Rating</t>
  </si>
  <si>
    <t>Discount Amount</t>
  </si>
  <si>
    <t>Rating category</t>
  </si>
  <si>
    <t>Discount category</t>
  </si>
  <si>
    <t>Total No Of Product</t>
  </si>
  <si>
    <t>Average Discount %</t>
  </si>
  <si>
    <t xml:space="preserve">Average Rating </t>
  </si>
  <si>
    <t>Total No Of Reviews</t>
  </si>
  <si>
    <t>Row Labels</t>
  </si>
  <si>
    <t>Grand Total</t>
  </si>
  <si>
    <t>Sum of Rating</t>
  </si>
  <si>
    <t>(All)</t>
  </si>
  <si>
    <t>Sum of Review</t>
  </si>
  <si>
    <t>High Discount</t>
  </si>
  <si>
    <t>Product of Discount</t>
  </si>
  <si>
    <t>(Multiple Items)</t>
  </si>
  <si>
    <t>Excellent Rating</t>
  </si>
  <si>
    <t>Column Labels</t>
  </si>
  <si>
    <t>Medium Discount</t>
  </si>
  <si>
    <t xml:space="preserve"> Rating</t>
  </si>
  <si>
    <t>No Of Reviews</t>
  </si>
  <si>
    <t>Top Products with the highest ratings</t>
  </si>
  <si>
    <t>Reviews</t>
  </si>
  <si>
    <t>Products</t>
  </si>
  <si>
    <t>No of Review</t>
  </si>
  <si>
    <t>Rated</t>
  </si>
  <si>
    <t>Top Products With the highest Reviews</t>
  </si>
  <si>
    <t>Top Product with the highest Discounts</t>
  </si>
  <si>
    <t>Rating Score</t>
  </si>
  <si>
    <t>No of Reviews</t>
  </si>
  <si>
    <t>Count of Product</t>
  </si>
  <si>
    <t>Average Rating</t>
  </si>
  <si>
    <t>Poor rating</t>
  </si>
  <si>
    <t>Low Discount</t>
  </si>
  <si>
    <t>Average</t>
  </si>
  <si>
    <t>Current Price</t>
  </si>
  <si>
    <t xml:space="preserve">Old Price </t>
  </si>
  <si>
    <t>Discount %</t>
  </si>
  <si>
    <t>Most Expensive and Least Expensive Product</t>
  </si>
  <si>
    <t>Most Expensive</t>
  </si>
  <si>
    <t>Least Expensive</t>
  </si>
  <si>
    <t>Average Discount</t>
  </si>
  <si>
    <t>AVG By Discount Category</t>
  </si>
  <si>
    <t>Distribution According to Rating Categories</t>
  </si>
  <si>
    <t xml:space="preserve">Poor rating </t>
  </si>
  <si>
    <t>Excellent rating</t>
  </si>
  <si>
    <t>Average rating</t>
  </si>
  <si>
    <t>1. High discounts on a product do not necessarily guarantee higher customer ratings.</t>
  </si>
  <si>
    <t>2. A high product rating does not necessarily result in an increased number of customer reviews.</t>
  </si>
  <si>
    <t>Top 10 Products with the highest discounts</t>
  </si>
  <si>
    <t>Top 10 Products with the highest reviews</t>
  </si>
  <si>
    <t>Top 5 Highest rated</t>
  </si>
  <si>
    <t>Bottom 5 Lowest rated Product</t>
  </si>
  <si>
    <t>No of reviews</t>
  </si>
  <si>
    <t>Comparison Of High and Low Discount Vs Average rating and No of Reviews</t>
  </si>
  <si>
    <t>Unknown</t>
  </si>
  <si>
    <t>Column1</t>
  </si>
  <si>
    <t>Column2</t>
  </si>
  <si>
    <t>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</si>
</sst>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
      <patternFill patternType="solid">
        <fgColor theme="0"/>
        <bgColor indexed="64"/>
      </patternFill>
    </fill>
    <fill>
      <patternFill patternType="solid">
        <fgColor theme="4" tint="-0.249977111117893"/>
        <bgColor indexed="64"/>
      </patternFill>
    </fill>
    <fill>
      <patternFill patternType="solid">
        <fgColor theme="3" tint="0.79998168889431442"/>
        <bgColor indexed="64"/>
      </patternFill>
    </fill>
    <fill>
      <patternFill patternType="solid">
        <fgColor theme="3" tint="0.39997558519241921"/>
        <bgColor indexed="64"/>
      </patternFill>
    </fill>
    <fill>
      <patternFill patternType="solid">
        <fgColor theme="4" tint="0.39997558519241921"/>
        <bgColor indexed="64"/>
      </patternFill>
    </fill>
    <fill>
      <patternFill patternType="solid">
        <fgColor theme="4"/>
        <bgColor theme="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style="thin">
        <color theme="4" tint="0.39997558519241921"/>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style="thin">
        <color theme="4" tint="0.39997558519241921"/>
      </top>
      <bottom style="thin">
        <color theme="4" tint="0.39997558519241921"/>
      </bottom>
      <diagonal/>
    </border>
    <border>
      <left/>
      <right style="thin">
        <color theme="4" tint="0.39997558519241921"/>
      </right>
      <top/>
      <bottom style="thin">
        <color theme="4" tint="0.39997558519241921"/>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5">
    <xf numFmtId="0" fontId="0" fillId="0" borderId="0" xfId="0"/>
    <xf numFmtId="9" fontId="0" fillId="0" borderId="0" xfId="0" applyNumberFormat="1"/>
    <xf numFmtId="0" fontId="16" fillId="0" borderId="0" xfId="0" applyFont="1"/>
    <xf numFmtId="3"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6" fillId="33" borderId="10" xfId="0" applyFont="1" applyFill="1" applyBorder="1"/>
    <xf numFmtId="0" fontId="0" fillId="34" borderId="0" xfId="0" applyFill="1"/>
    <xf numFmtId="0" fontId="16" fillId="33" borderId="11" xfId="0" applyFont="1" applyFill="1" applyBorder="1" applyAlignment="1">
      <alignment horizontal="left"/>
    </xf>
    <xf numFmtId="0" fontId="16" fillId="33" borderId="11" xfId="0" applyNumberFormat="1" applyFont="1" applyFill="1" applyBorder="1"/>
    <xf numFmtId="9" fontId="0" fillId="0" borderId="0" xfId="0" applyNumberFormat="1" applyAlignment="1">
      <alignment horizontal="left"/>
    </xf>
    <xf numFmtId="0" fontId="0" fillId="36" borderId="0" xfId="0" applyFill="1" applyBorder="1"/>
    <xf numFmtId="0" fontId="17" fillId="36" borderId="0" xfId="0" applyFont="1" applyFill="1" applyBorder="1" applyAlignment="1"/>
    <xf numFmtId="9" fontId="0" fillId="36" borderId="0" xfId="0" applyNumberFormat="1" applyFill="1" applyBorder="1"/>
    <xf numFmtId="0" fontId="17" fillId="35" borderId="0" xfId="0" applyFont="1" applyFill="1" applyBorder="1" applyAlignment="1">
      <alignment horizontal="center"/>
    </xf>
    <xf numFmtId="0" fontId="0" fillId="37" borderId="0" xfId="0" applyFill="1" applyBorder="1"/>
    <xf numFmtId="0" fontId="0" fillId="0" borderId="0" xfId="0" applyBorder="1"/>
    <xf numFmtId="0" fontId="16" fillId="0" borderId="13" xfId="0" applyFont="1" applyBorder="1"/>
    <xf numFmtId="0" fontId="0" fillId="0" borderId="13" xfId="0" applyBorder="1"/>
    <xf numFmtId="3" fontId="0" fillId="0" borderId="13" xfId="0" applyNumberFormat="1" applyBorder="1"/>
    <xf numFmtId="9" fontId="0" fillId="0" borderId="13" xfId="0" applyNumberFormat="1" applyBorder="1"/>
    <xf numFmtId="0" fontId="16" fillId="0" borderId="0" xfId="0" applyFont="1" applyBorder="1" applyAlignment="1"/>
    <xf numFmtId="10" fontId="0" fillId="0" borderId="13" xfId="0" applyNumberFormat="1" applyBorder="1"/>
    <xf numFmtId="0" fontId="16" fillId="0" borderId="13" xfId="0" applyFont="1" applyFill="1" applyBorder="1"/>
    <xf numFmtId="0" fontId="0" fillId="38" borderId="0" xfId="0" applyFill="1" applyBorder="1"/>
    <xf numFmtId="9" fontId="0" fillId="38" borderId="0" xfId="0" applyNumberFormat="1" applyFill="1" applyBorder="1"/>
    <xf numFmtId="0" fontId="17" fillId="35" borderId="0" xfId="0" applyFont="1" applyFill="1" applyBorder="1" applyAlignment="1">
      <alignment horizontal="center"/>
    </xf>
    <xf numFmtId="0" fontId="16" fillId="0" borderId="14" xfId="0" applyFont="1" applyBorder="1" applyAlignment="1">
      <alignment horizontal="center"/>
    </xf>
    <xf numFmtId="0" fontId="17" fillId="35" borderId="0" xfId="0" applyFont="1" applyFill="1" applyBorder="1" applyAlignment="1">
      <alignment horizontal="center"/>
    </xf>
    <xf numFmtId="0" fontId="16" fillId="0" borderId="13" xfId="0" applyFont="1" applyBorder="1" applyAlignment="1">
      <alignment horizontal="center"/>
    </xf>
    <xf numFmtId="0" fontId="16" fillId="0" borderId="0" xfId="0" applyFont="1" applyFill="1" applyBorder="1" applyAlignment="1">
      <alignment horizontal="center"/>
    </xf>
    <xf numFmtId="0" fontId="16" fillId="0" borderId="0" xfId="0" applyFont="1" applyAlignment="1">
      <alignment horizontal="left" vertical="center" indent="1"/>
    </xf>
    <xf numFmtId="0" fontId="16" fillId="0" borderId="0" xfId="0" applyFont="1" applyAlignment="1">
      <alignment horizontal="center"/>
    </xf>
    <xf numFmtId="0" fontId="16" fillId="0" borderId="14" xfId="0" applyFont="1" applyBorder="1" applyAlignment="1">
      <alignment horizontal="center"/>
    </xf>
    <xf numFmtId="0" fontId="16" fillId="0" borderId="12" xfId="0" applyFont="1" applyBorder="1" applyAlignment="1">
      <alignment horizontal="center"/>
    </xf>
    <xf numFmtId="0" fontId="0" fillId="33" borderId="15" xfId="0" applyFont="1" applyFill="1" applyBorder="1"/>
    <xf numFmtId="0" fontId="0" fillId="0" borderId="15" xfId="0" applyFont="1" applyBorder="1"/>
    <xf numFmtId="3" fontId="0" fillId="33" borderId="15" xfId="0" applyNumberFormat="1" applyFont="1" applyFill="1" applyBorder="1"/>
    <xf numFmtId="9" fontId="0" fillId="33" borderId="15" xfId="0" applyNumberFormat="1" applyFont="1" applyFill="1" applyBorder="1"/>
    <xf numFmtId="3" fontId="0" fillId="0" borderId="15" xfId="0" applyNumberFormat="1" applyFont="1" applyBorder="1"/>
    <xf numFmtId="9" fontId="0" fillId="0" borderId="15" xfId="0" applyNumberFormat="1" applyFont="1" applyBorder="1"/>
    <xf numFmtId="0" fontId="13" fillId="39" borderId="10" xfId="0" applyFont="1" applyFill="1" applyBorder="1"/>
    <xf numFmtId="0" fontId="13" fillId="39" borderId="16" xfId="0" applyFont="1" applyFill="1" applyBorder="1"/>
    <xf numFmtId="0" fontId="16" fillId="0" borderId="17" xfId="0" applyFont="1" applyBorder="1"/>
    <xf numFmtId="0" fontId="0" fillId="0" borderId="17" xfId="0" applyBorder="1"/>
    <xf numFmtId="0" fontId="16" fillId="0" borderId="18" xfId="0" applyFont="1" applyBorder="1"/>
    <xf numFmtId="0" fontId="0" fillId="0" borderId="18" xfId="0" applyBorder="1"/>
    <xf numFmtId="0" fontId="16" fillId="0" borderId="19" xfId="0" applyFont="1" applyBorder="1"/>
    <xf numFmtId="0" fontId="16" fillId="0" borderId="20" xfId="0" applyFont="1" applyBorder="1"/>
    <xf numFmtId="0" fontId="16" fillId="0" borderId="14" xfId="0" applyFont="1" applyBorder="1"/>
    <xf numFmtId="0" fontId="0" fillId="0" borderId="21" xfId="0" applyBorder="1"/>
    <xf numFmtId="0" fontId="0" fillId="0" borderId="22" xfId="0" applyBorder="1"/>
    <xf numFmtId="3" fontId="0" fillId="0" borderId="22" xfId="0" applyNumberFormat="1" applyBorder="1"/>
    <xf numFmtId="9" fontId="0" fillId="0" borderId="22" xfId="0" applyNumberFormat="1" applyBorder="1"/>
    <xf numFmtId="0" fontId="0" fillId="0" borderId="23" xfId="0" applyBorder="1"/>
    <xf numFmtId="0" fontId="0" fillId="0" borderId="14" xfId="0" applyBorder="1"/>
    <xf numFmtId="0" fontId="16" fillId="0" borderId="19" xfId="0" applyFont="1" applyBorder="1" applyAlignment="1">
      <alignment horizontal="center"/>
    </xf>
    <xf numFmtId="0" fontId="16" fillId="0" borderId="20" xfId="0" applyFont="1" applyBorder="1" applyAlignment="1">
      <alignment horizontal="center"/>
    </xf>
    <xf numFmtId="0" fontId="16" fillId="0" borderId="21" xfId="0" applyFont="1" applyBorder="1"/>
    <xf numFmtId="3" fontId="0" fillId="0" borderId="18" xfId="0" applyNumberFormat="1" applyBorder="1"/>
    <xf numFmtId="9" fontId="0" fillId="0" borderId="18" xfId="0" applyNumberFormat="1" applyBorder="1"/>
    <xf numFmtId="0" fontId="16" fillId="0" borderId="18" xfId="0" applyFont="1" applyBorder="1" applyAlignment="1">
      <alignment horizontal="center"/>
    </xf>
    <xf numFmtId="0" fontId="16" fillId="0" borderId="24" xfId="0" applyFont="1" applyBorder="1" applyAlignment="1">
      <alignment horizontal="center"/>
    </xf>
    <xf numFmtId="0" fontId="16" fillId="0" borderId="17" xfId="0" applyFont="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1">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font>
        <b/>
        <i val="0"/>
        <strike val="0"/>
        <condense val="0"/>
        <extend val="0"/>
        <outline val="0"/>
        <shadow val="0"/>
        <u val="none"/>
        <vertAlign val="baseline"/>
        <sz val="11"/>
        <color theme="1"/>
        <name val="Calibri"/>
        <family val="2"/>
        <scheme val="minor"/>
      </font>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numFmt numFmtId="3" formatCode="#,##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numFmt numFmtId="3" formatCode="#,##0"/>
      <border diagonalUp="0" diagonalDown="0">
        <left style="thin">
          <color indexed="64"/>
        </left>
        <right style="thin">
          <color indexed="64"/>
        </right>
        <top style="thin">
          <color indexed="64"/>
        </top>
        <bottom style="thin">
          <color indexed="64"/>
        </bottom>
        <vertical/>
        <horizontal/>
      </border>
    </dxf>
    <dxf>
      <numFmt numFmtId="3" formatCode="#,##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numFmt numFmtId="3" formatCode="#,##0"/>
      <border diagonalUp="0" diagonalDown="0">
        <left style="thin">
          <color indexed="64"/>
        </left>
        <right style="thin">
          <color indexed="64"/>
        </right>
        <top style="thin">
          <color indexed="64"/>
        </top>
        <bottom style="thin">
          <color indexed="64"/>
        </bottom>
        <vertical/>
        <horizontal/>
      </border>
    </dxf>
    <dxf>
      <numFmt numFmtId="3" formatCode="#,##0"/>
      <border diagonalUp="0" diagonalDown="0">
        <left style="thin">
          <color indexed="64"/>
        </left>
        <right style="thin">
          <color indexed="64"/>
        </right>
        <top style="thin">
          <color indexed="64"/>
        </top>
        <bottom style="thin">
          <color indexed="64"/>
        </bottom>
        <vertical/>
        <horizontal/>
      </border>
    </dxf>
    <dxf>
      <numFmt numFmtId="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13" formatCode="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numFmt numFmtId="3" formatCode="#,##0"/>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bottom style="thin">
          <color theme="4" tint="0.39997558519241921"/>
        </bottom>
      </border>
    </dxf>
    <dxf>
      <border outline="0">
        <left style="thin">
          <color theme="4" tint="0.39997558519241921"/>
        </left>
        <top style="thin">
          <color theme="4" tint="0.39997558519241921"/>
        </top>
      </border>
    </dxf>
    <dxf>
      <numFmt numFmtId="13" formatCode="0%"/>
    </dxf>
    <dxf>
      <numFmt numFmtId="3" formatCode="#,##0"/>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sheetMetadata" Target="metadata.xml"/><Relationship Id="rId10" Type="http://schemas.openxmlformats.org/officeDocument/2006/relationships/worksheet" Target="worksheets/sheet10.xml"/><Relationship Id="rId19" Type="http://schemas.microsoft.com/office/2007/relationships/slicerCache" Target="slicerCaches/slicerCache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[Collins _Ochola_Excel_jumia.xlsx]Sheet12!PivotTable7</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a:t>
            </a:r>
            <a:r>
              <a:rPr lang="en-US" baseline="0"/>
              <a:t> Percentage Vs No of Reviews</a:t>
            </a:r>
            <a:endParaRPr lang="en-US"/>
          </a:p>
        </c:rich>
      </c:tx>
      <c:layout>
        <c:manualLayout>
          <c:xMode val="edge"/>
          <c:yMode val="edge"/>
          <c:x val="0.23072222222222222"/>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Sheet12!$B$3</c:f>
              <c:strCache>
                <c:ptCount val="1"/>
                <c:pt idx="0">
                  <c:v>Total</c:v>
                </c:pt>
              </c:strCache>
            </c:strRef>
          </c:tx>
          <c:spPr>
            <a:solidFill>
              <a:schemeClr val="accent1"/>
            </a:solidFill>
            <a:ln>
              <a:noFill/>
            </a:ln>
            <a:effectLst/>
          </c:spPr>
          <c:invertIfNegative val="0"/>
          <c:cat>
            <c:strRef>
              <c:f>Sheet12!$A$4:$A$50</c:f>
              <c:strCache>
                <c:ptCount val="46"/>
                <c:pt idx="0">
                  <c:v>1%</c:v>
                </c:pt>
                <c:pt idx="1">
                  <c:v>2%</c:v>
                </c:pt>
                <c:pt idx="2">
                  <c:v>3%</c:v>
                </c:pt>
                <c:pt idx="3">
                  <c:v>4%</c:v>
                </c:pt>
                <c:pt idx="4">
                  <c:v>8%</c:v>
                </c:pt>
                <c:pt idx="5">
                  <c:v>9%</c:v>
                </c:pt>
                <c:pt idx="6">
                  <c:v>11%</c:v>
                </c:pt>
                <c:pt idx="7">
                  <c:v>13%</c:v>
                </c:pt>
                <c:pt idx="8">
                  <c:v>14%</c:v>
                </c:pt>
                <c:pt idx="9">
                  <c:v>18%</c:v>
                </c:pt>
                <c:pt idx="10">
                  <c:v>19%</c:v>
                </c:pt>
                <c:pt idx="11">
                  <c:v>20%</c:v>
                </c:pt>
                <c:pt idx="12">
                  <c:v>21%</c:v>
                </c:pt>
                <c:pt idx="13">
                  <c:v>22%</c:v>
                </c:pt>
                <c:pt idx="14">
                  <c:v>23%</c:v>
                </c:pt>
                <c:pt idx="15">
                  <c:v>24%</c:v>
                </c:pt>
                <c:pt idx="16">
                  <c:v>25%</c:v>
                </c:pt>
                <c:pt idx="17">
                  <c:v>26%</c:v>
                </c:pt>
                <c:pt idx="18">
                  <c:v>27%</c:v>
                </c:pt>
                <c:pt idx="19">
                  <c:v>29%</c:v>
                </c:pt>
                <c:pt idx="20">
                  <c:v>30%</c:v>
                </c:pt>
                <c:pt idx="21">
                  <c:v>32%</c:v>
                </c:pt>
                <c:pt idx="22">
                  <c:v>33%</c:v>
                </c:pt>
                <c:pt idx="23">
                  <c:v>34%</c:v>
                </c:pt>
                <c:pt idx="24">
                  <c:v>35%</c:v>
                </c:pt>
                <c:pt idx="25">
                  <c:v>36%</c:v>
                </c:pt>
                <c:pt idx="26">
                  <c:v>37%</c:v>
                </c:pt>
                <c:pt idx="27">
                  <c:v>38%</c:v>
                </c:pt>
                <c:pt idx="28">
                  <c:v>39%</c:v>
                </c:pt>
                <c:pt idx="29">
                  <c:v>40%</c:v>
                </c:pt>
                <c:pt idx="30">
                  <c:v>41%</c:v>
                </c:pt>
                <c:pt idx="31">
                  <c:v>42%</c:v>
                </c:pt>
                <c:pt idx="32">
                  <c:v>43%</c:v>
                </c:pt>
                <c:pt idx="33">
                  <c:v>45%</c:v>
                </c:pt>
                <c:pt idx="34">
                  <c:v>46%</c:v>
                </c:pt>
                <c:pt idx="35">
                  <c:v>47%</c:v>
                </c:pt>
                <c:pt idx="36">
                  <c:v>48%</c:v>
                </c:pt>
                <c:pt idx="37">
                  <c:v>49%</c:v>
                </c:pt>
                <c:pt idx="38">
                  <c:v>50%</c:v>
                </c:pt>
                <c:pt idx="39">
                  <c:v>51%</c:v>
                </c:pt>
                <c:pt idx="40">
                  <c:v>52%</c:v>
                </c:pt>
                <c:pt idx="41">
                  <c:v>53%</c:v>
                </c:pt>
                <c:pt idx="42">
                  <c:v>54%</c:v>
                </c:pt>
                <c:pt idx="43">
                  <c:v>55%</c:v>
                </c:pt>
                <c:pt idx="44">
                  <c:v>61%</c:v>
                </c:pt>
                <c:pt idx="45">
                  <c:v>64%</c:v>
                </c:pt>
              </c:strCache>
            </c:strRef>
          </c:cat>
          <c:val>
            <c:numRef>
              <c:f>Sheet12!$B$4:$B$50</c:f>
              <c:numCache>
                <c:formatCode>General</c:formatCode>
                <c:ptCount val="46"/>
                <c:pt idx="5">
                  <c:v>15</c:v>
                </c:pt>
                <c:pt idx="7">
                  <c:v>6</c:v>
                </c:pt>
                <c:pt idx="9">
                  <c:v>12</c:v>
                </c:pt>
                <c:pt idx="10">
                  <c:v>5</c:v>
                </c:pt>
                <c:pt idx="11">
                  <c:v>12</c:v>
                </c:pt>
                <c:pt idx="12">
                  <c:v>1</c:v>
                </c:pt>
                <c:pt idx="13">
                  <c:v>16</c:v>
                </c:pt>
                <c:pt idx="14">
                  <c:v>14</c:v>
                </c:pt>
                <c:pt idx="15">
                  <c:v>55</c:v>
                </c:pt>
                <c:pt idx="16">
                  <c:v>24</c:v>
                </c:pt>
                <c:pt idx="17">
                  <c:v>5</c:v>
                </c:pt>
                <c:pt idx="18">
                  <c:v>52</c:v>
                </c:pt>
                <c:pt idx="19">
                  <c:v>5</c:v>
                </c:pt>
                <c:pt idx="20">
                  <c:v>20</c:v>
                </c:pt>
                <c:pt idx="21">
                  <c:v>13</c:v>
                </c:pt>
                <c:pt idx="22">
                  <c:v>9</c:v>
                </c:pt>
                <c:pt idx="23">
                  <c:v>51</c:v>
                </c:pt>
                <c:pt idx="24">
                  <c:v>55</c:v>
                </c:pt>
                <c:pt idx="26">
                  <c:v>9</c:v>
                </c:pt>
                <c:pt idx="27">
                  <c:v>4</c:v>
                </c:pt>
                <c:pt idx="28">
                  <c:v>5</c:v>
                </c:pt>
                <c:pt idx="29">
                  <c:v>1</c:v>
                </c:pt>
                <c:pt idx="30">
                  <c:v>36</c:v>
                </c:pt>
                <c:pt idx="31">
                  <c:v>6</c:v>
                </c:pt>
                <c:pt idx="32">
                  <c:v>11</c:v>
                </c:pt>
                <c:pt idx="33">
                  <c:v>28</c:v>
                </c:pt>
                <c:pt idx="34">
                  <c:v>3</c:v>
                </c:pt>
                <c:pt idx="35">
                  <c:v>39</c:v>
                </c:pt>
                <c:pt idx="36">
                  <c:v>9</c:v>
                </c:pt>
                <c:pt idx="37">
                  <c:v>118</c:v>
                </c:pt>
                <c:pt idx="38">
                  <c:v>8</c:v>
                </c:pt>
                <c:pt idx="39">
                  <c:v>2</c:v>
                </c:pt>
                <c:pt idx="40">
                  <c:v>24</c:v>
                </c:pt>
                <c:pt idx="41">
                  <c:v>15</c:v>
                </c:pt>
                <c:pt idx="42">
                  <c:v>17</c:v>
                </c:pt>
                <c:pt idx="43">
                  <c:v>18</c:v>
                </c:pt>
              </c:numCache>
            </c:numRef>
          </c:val>
          <c:extLst>
            <c:ext xmlns:c16="http://schemas.microsoft.com/office/drawing/2014/chart" uri="{C3380CC4-5D6E-409C-BE32-E72D297353CC}">
              <c16:uniqueId val="{00000000-8581-48B4-B779-492E178F5C65}"/>
            </c:ext>
          </c:extLst>
        </c:ser>
        <c:dLbls>
          <c:showLegendKey val="0"/>
          <c:showVal val="0"/>
          <c:showCatName val="0"/>
          <c:showSerName val="0"/>
          <c:showPercent val="0"/>
          <c:showBubbleSize val="0"/>
        </c:dLbls>
        <c:gapWidth val="219"/>
        <c:overlap val="-27"/>
        <c:axId val="1060608703"/>
        <c:axId val="1060605375"/>
      </c:barChart>
      <c:catAx>
        <c:axId val="1060608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605375"/>
        <c:crosses val="autoZero"/>
        <c:auto val="1"/>
        <c:lblAlgn val="ctr"/>
        <c:lblOffset val="100"/>
        <c:noMultiLvlLbl val="0"/>
      </c:catAx>
      <c:valAx>
        <c:axId val="1060605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608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[Collins _Ochola_Excel_jumia.xlsx]Sheet13!PivotTable8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a:t>
            </a:r>
            <a:r>
              <a:rPr lang="en-US" baseline="0"/>
              <a:t> Vs The Number Of reviews</a:t>
            </a:r>
            <a:endParaRPr lang="en-US"/>
          </a:p>
        </c:rich>
      </c:tx>
      <c:layout>
        <c:manualLayout>
          <c:xMode val="edge"/>
          <c:yMode val="edge"/>
          <c:x val="0.2562567804024497"/>
          <c:y val="7.20326625838436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Sheet13!$B$3</c:f>
              <c:strCache>
                <c:ptCount val="1"/>
                <c:pt idx="0">
                  <c:v>Total</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Sheet13!$A$4:$A$26</c:f>
              <c:strCache>
                <c:ptCount val="22"/>
                <c:pt idx="0">
                  <c:v>2</c:v>
                </c:pt>
                <c:pt idx="1">
                  <c:v>2.1</c:v>
                </c:pt>
                <c:pt idx="2">
                  <c:v>2.2</c:v>
                </c:pt>
                <c:pt idx="3">
                  <c:v>2.3</c:v>
                </c:pt>
                <c:pt idx="4">
                  <c:v>2.5</c:v>
                </c:pt>
                <c:pt idx="5">
                  <c:v>2.6</c:v>
                </c:pt>
                <c:pt idx="6">
                  <c:v>2.7</c:v>
                </c:pt>
                <c:pt idx="7">
                  <c:v>2.8</c:v>
                </c:pt>
                <c:pt idx="8">
                  <c:v>2.9</c:v>
                </c:pt>
                <c:pt idx="9">
                  <c:v>3</c:v>
                </c:pt>
                <c:pt idx="10">
                  <c:v>3.3</c:v>
                </c:pt>
                <c:pt idx="11">
                  <c:v>3.8</c:v>
                </c:pt>
                <c:pt idx="12">
                  <c:v>4</c:v>
                </c:pt>
                <c:pt idx="13">
                  <c:v>4.1</c:v>
                </c:pt>
                <c:pt idx="14">
                  <c:v>4.2</c:v>
                </c:pt>
                <c:pt idx="15">
                  <c:v>4.3</c:v>
                </c:pt>
                <c:pt idx="16">
                  <c:v>4.4</c:v>
                </c:pt>
                <c:pt idx="17">
                  <c:v>4.5</c:v>
                </c:pt>
                <c:pt idx="18">
                  <c:v>4.6</c:v>
                </c:pt>
                <c:pt idx="19">
                  <c:v>4.7</c:v>
                </c:pt>
                <c:pt idx="20">
                  <c:v>4.8</c:v>
                </c:pt>
                <c:pt idx="21">
                  <c:v>5</c:v>
                </c:pt>
              </c:strCache>
            </c:strRef>
          </c:cat>
          <c:val>
            <c:numRef>
              <c:f>Sheet13!$B$4:$B$26</c:f>
              <c:numCache>
                <c:formatCode>General</c:formatCode>
                <c:ptCount val="22"/>
                <c:pt idx="0">
                  <c:v>1</c:v>
                </c:pt>
                <c:pt idx="1">
                  <c:v>20</c:v>
                </c:pt>
                <c:pt idx="2">
                  <c:v>12</c:v>
                </c:pt>
                <c:pt idx="3">
                  <c:v>13</c:v>
                </c:pt>
                <c:pt idx="4">
                  <c:v>6</c:v>
                </c:pt>
                <c:pt idx="5">
                  <c:v>17</c:v>
                </c:pt>
                <c:pt idx="6">
                  <c:v>15</c:v>
                </c:pt>
                <c:pt idx="7">
                  <c:v>69</c:v>
                </c:pt>
                <c:pt idx="8">
                  <c:v>16</c:v>
                </c:pt>
                <c:pt idx="9">
                  <c:v>26</c:v>
                </c:pt>
                <c:pt idx="10">
                  <c:v>13</c:v>
                </c:pt>
                <c:pt idx="11">
                  <c:v>30</c:v>
                </c:pt>
                <c:pt idx="12">
                  <c:v>24</c:v>
                </c:pt>
                <c:pt idx="13">
                  <c:v>46</c:v>
                </c:pt>
                <c:pt idx="14">
                  <c:v>9</c:v>
                </c:pt>
                <c:pt idx="15">
                  <c:v>61</c:v>
                </c:pt>
                <c:pt idx="16">
                  <c:v>14</c:v>
                </c:pt>
                <c:pt idx="17">
                  <c:v>42</c:v>
                </c:pt>
                <c:pt idx="18">
                  <c:v>177</c:v>
                </c:pt>
                <c:pt idx="19">
                  <c:v>78</c:v>
                </c:pt>
                <c:pt idx="20">
                  <c:v>22</c:v>
                </c:pt>
                <c:pt idx="21">
                  <c:v>12</c:v>
                </c:pt>
              </c:numCache>
            </c:numRef>
          </c:val>
          <c:extLst>
            <c:ext xmlns:c16="http://schemas.microsoft.com/office/drawing/2014/chart" uri="{C3380CC4-5D6E-409C-BE32-E72D297353CC}">
              <c16:uniqueId val="{00000000-F4A9-4DA3-8680-A67EEE9E7C35}"/>
            </c:ext>
          </c:extLst>
        </c:ser>
        <c:dLbls>
          <c:showLegendKey val="0"/>
          <c:showVal val="1"/>
          <c:showCatName val="0"/>
          <c:showSerName val="0"/>
          <c:showPercent val="0"/>
          <c:showBubbleSize val="0"/>
        </c:dLbls>
        <c:axId val="1224293119"/>
        <c:axId val="1224294367"/>
      </c:areaChart>
      <c:catAx>
        <c:axId val="12242931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294367"/>
        <c:crosses val="autoZero"/>
        <c:auto val="1"/>
        <c:lblAlgn val="ctr"/>
        <c:lblOffset val="100"/>
        <c:noMultiLvlLbl val="0"/>
      </c:catAx>
      <c:valAx>
        <c:axId val="1224294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29311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[Collins _Ochola_Excel_jumia.xlsx]Sheet17!PivotTable11</c:name>
    <c:fmtId val="2"/>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No</a:t>
            </a:r>
            <a:r>
              <a:rPr lang="en-US" sz="1100" baseline="0"/>
              <a:t> Of Products Vs Discount Category Vs Rating</a:t>
            </a:r>
            <a:endParaRPr lang="en-US" sz="1100"/>
          </a:p>
        </c:rich>
      </c:tx>
      <c:layout>
        <c:manualLayout>
          <c:xMode val="edge"/>
          <c:yMode val="edge"/>
          <c:x val="0.24126377952755912"/>
          <c:y val="0.10546077573636629"/>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803149606299209E-2"/>
          <c:y val="0.14249781277340332"/>
          <c:w val="0.67620538057742785"/>
          <c:h val="0.65853091280256637"/>
        </c:manualLayout>
      </c:layout>
      <c:barChart>
        <c:barDir val="col"/>
        <c:grouping val="clustered"/>
        <c:varyColors val="0"/>
        <c:ser>
          <c:idx val="0"/>
          <c:order val="0"/>
          <c:tx>
            <c:strRef>
              <c:f>Sheet17!$B$3:$B$4</c:f>
              <c:strCache>
                <c:ptCount val="1"/>
                <c:pt idx="0">
                  <c:v>Average Rating</c:v>
                </c:pt>
              </c:strCache>
            </c:strRef>
          </c:tx>
          <c:spPr>
            <a:solidFill>
              <a:schemeClr val="accent1"/>
            </a:solidFill>
            <a:ln>
              <a:noFill/>
            </a:ln>
            <a:effectLst/>
          </c:spPr>
          <c:invertIfNegative val="0"/>
          <c:cat>
            <c:strRef>
              <c:f>Sheet17!$A$5:$A$8</c:f>
              <c:strCache>
                <c:ptCount val="3"/>
                <c:pt idx="0">
                  <c:v>High Discount</c:v>
                </c:pt>
                <c:pt idx="1">
                  <c:v>Low Discount</c:v>
                </c:pt>
                <c:pt idx="2">
                  <c:v>Medium Discount</c:v>
                </c:pt>
              </c:strCache>
            </c:strRef>
          </c:cat>
          <c:val>
            <c:numRef>
              <c:f>Sheet17!$B$5:$B$8</c:f>
              <c:numCache>
                <c:formatCode>General</c:formatCode>
                <c:ptCount val="3"/>
                <c:pt idx="0">
                  <c:v>11</c:v>
                </c:pt>
                <c:pt idx="1">
                  <c:v>2</c:v>
                </c:pt>
                <c:pt idx="2">
                  <c:v>9</c:v>
                </c:pt>
              </c:numCache>
            </c:numRef>
          </c:val>
          <c:extLst>
            <c:ext xmlns:c16="http://schemas.microsoft.com/office/drawing/2014/chart" uri="{C3380CC4-5D6E-409C-BE32-E72D297353CC}">
              <c16:uniqueId val="{00000000-0A81-4C5D-A268-0DCDBDE28857}"/>
            </c:ext>
          </c:extLst>
        </c:ser>
        <c:ser>
          <c:idx val="1"/>
          <c:order val="1"/>
          <c:tx>
            <c:strRef>
              <c:f>Sheet17!$C$3:$C$4</c:f>
              <c:strCache>
                <c:ptCount val="1"/>
                <c:pt idx="0">
                  <c:v>Excellent Rating</c:v>
                </c:pt>
              </c:strCache>
            </c:strRef>
          </c:tx>
          <c:spPr>
            <a:solidFill>
              <a:schemeClr val="accent2"/>
            </a:solidFill>
            <a:ln>
              <a:noFill/>
            </a:ln>
            <a:effectLst/>
          </c:spPr>
          <c:invertIfNegative val="0"/>
          <c:cat>
            <c:strRef>
              <c:f>Sheet17!$A$5:$A$8</c:f>
              <c:strCache>
                <c:ptCount val="3"/>
                <c:pt idx="0">
                  <c:v>High Discount</c:v>
                </c:pt>
                <c:pt idx="1">
                  <c:v>Low Discount</c:v>
                </c:pt>
                <c:pt idx="2">
                  <c:v>Medium Discount</c:v>
                </c:pt>
              </c:strCache>
            </c:strRef>
          </c:cat>
          <c:val>
            <c:numRef>
              <c:f>Sheet17!$C$5:$C$8</c:f>
              <c:numCache>
                <c:formatCode>General</c:formatCode>
                <c:ptCount val="3"/>
                <c:pt idx="0">
                  <c:v>9</c:v>
                </c:pt>
                <c:pt idx="1">
                  <c:v>1</c:v>
                </c:pt>
                <c:pt idx="2">
                  <c:v>13</c:v>
                </c:pt>
              </c:numCache>
            </c:numRef>
          </c:val>
          <c:extLst>
            <c:ext xmlns:c16="http://schemas.microsoft.com/office/drawing/2014/chart" uri="{C3380CC4-5D6E-409C-BE32-E72D297353CC}">
              <c16:uniqueId val="{00000007-90F3-4241-B98F-1746D1711E16}"/>
            </c:ext>
          </c:extLst>
        </c:ser>
        <c:ser>
          <c:idx val="2"/>
          <c:order val="2"/>
          <c:tx>
            <c:strRef>
              <c:f>Sheet17!$D$3:$D$4</c:f>
              <c:strCache>
                <c:ptCount val="1"/>
                <c:pt idx="0">
                  <c:v>Poor rating</c:v>
                </c:pt>
              </c:strCache>
            </c:strRef>
          </c:tx>
          <c:spPr>
            <a:solidFill>
              <a:schemeClr val="accent3"/>
            </a:solidFill>
            <a:ln>
              <a:noFill/>
            </a:ln>
            <a:effectLst/>
          </c:spPr>
          <c:invertIfNegative val="0"/>
          <c:cat>
            <c:strRef>
              <c:f>Sheet17!$A$5:$A$8</c:f>
              <c:strCache>
                <c:ptCount val="3"/>
                <c:pt idx="0">
                  <c:v>High Discount</c:v>
                </c:pt>
                <c:pt idx="1">
                  <c:v>Low Discount</c:v>
                </c:pt>
                <c:pt idx="2">
                  <c:v>Medium Discount</c:v>
                </c:pt>
              </c:strCache>
            </c:strRef>
          </c:cat>
          <c:val>
            <c:numRef>
              <c:f>Sheet17!$D$5:$D$8</c:f>
              <c:numCache>
                <c:formatCode>General</c:formatCode>
                <c:ptCount val="3"/>
                <c:pt idx="0">
                  <c:v>10</c:v>
                </c:pt>
                <c:pt idx="1">
                  <c:v>1</c:v>
                </c:pt>
                <c:pt idx="2">
                  <c:v>1</c:v>
                </c:pt>
              </c:numCache>
            </c:numRef>
          </c:val>
          <c:extLst>
            <c:ext xmlns:c16="http://schemas.microsoft.com/office/drawing/2014/chart" uri="{C3380CC4-5D6E-409C-BE32-E72D297353CC}">
              <c16:uniqueId val="{00000008-90F3-4241-B98F-1746D1711E16}"/>
            </c:ext>
          </c:extLst>
        </c:ser>
        <c:ser>
          <c:idx val="3"/>
          <c:order val="3"/>
          <c:tx>
            <c:strRef>
              <c:f>Sheet17!$E$3:$E$4</c:f>
              <c:strCache>
                <c:ptCount val="1"/>
                <c:pt idx="0">
                  <c:v>Unknown</c:v>
                </c:pt>
              </c:strCache>
            </c:strRef>
          </c:tx>
          <c:spPr>
            <a:solidFill>
              <a:schemeClr val="accent4"/>
            </a:solidFill>
            <a:ln>
              <a:noFill/>
            </a:ln>
            <a:effectLst/>
          </c:spPr>
          <c:invertIfNegative val="0"/>
          <c:cat>
            <c:strRef>
              <c:f>Sheet17!$A$5:$A$8</c:f>
              <c:strCache>
                <c:ptCount val="3"/>
                <c:pt idx="0">
                  <c:v>High Discount</c:v>
                </c:pt>
                <c:pt idx="1">
                  <c:v>Low Discount</c:v>
                </c:pt>
                <c:pt idx="2">
                  <c:v>Medium Discount</c:v>
                </c:pt>
              </c:strCache>
            </c:strRef>
          </c:cat>
          <c:val>
            <c:numRef>
              <c:f>Sheet17!$E$5:$E$8</c:f>
              <c:numCache>
                <c:formatCode>General</c:formatCode>
                <c:ptCount val="3"/>
                <c:pt idx="0">
                  <c:v>32</c:v>
                </c:pt>
                <c:pt idx="1">
                  <c:v>14</c:v>
                </c:pt>
                <c:pt idx="2">
                  <c:v>9</c:v>
                </c:pt>
              </c:numCache>
            </c:numRef>
          </c:val>
          <c:extLst>
            <c:ext xmlns:c16="http://schemas.microsoft.com/office/drawing/2014/chart" uri="{C3380CC4-5D6E-409C-BE32-E72D297353CC}">
              <c16:uniqueId val="{00000009-90F3-4241-B98F-1746D1711E16}"/>
            </c:ext>
          </c:extLst>
        </c:ser>
        <c:dLbls>
          <c:showLegendKey val="0"/>
          <c:showVal val="0"/>
          <c:showCatName val="0"/>
          <c:showSerName val="0"/>
          <c:showPercent val="0"/>
          <c:showBubbleSize val="0"/>
        </c:dLbls>
        <c:gapWidth val="219"/>
        <c:overlap val="-27"/>
        <c:axId val="1060606207"/>
        <c:axId val="1060599967"/>
      </c:barChart>
      <c:catAx>
        <c:axId val="1060606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599967"/>
        <c:crosses val="autoZero"/>
        <c:auto val="1"/>
        <c:lblAlgn val="ctr"/>
        <c:lblOffset val="100"/>
        <c:noMultiLvlLbl val="0"/>
      </c:catAx>
      <c:valAx>
        <c:axId val="1060599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606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[Collins _Ochola_Excel_jumia.xlsx]Sheet2!PivotTable1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Products With The Highest Ratings </a:t>
            </a:r>
            <a:endParaRPr lang="en-US"/>
          </a:p>
        </c:rich>
      </c:tx>
      <c:layout>
        <c:manualLayout>
          <c:xMode val="edge"/>
          <c:yMode val="edge"/>
          <c:x val="0.21191666666666667"/>
          <c:y val="8.129192184310295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Sheet2!$B$3</c:f>
              <c:strCache>
                <c:ptCount val="1"/>
                <c:pt idx="0">
                  <c:v>Total</c:v>
                </c:pt>
              </c:strCache>
            </c:strRef>
          </c:tx>
          <c:spPr>
            <a:solidFill>
              <a:schemeClr val="accent1"/>
            </a:solidFill>
            <a:ln>
              <a:noFill/>
            </a:ln>
            <a:effectLst/>
            <a:sp3d/>
          </c:spPr>
          <c:invertIfNegative val="0"/>
          <c:cat>
            <c:strRef>
              <c:f>Sheet2!$A$4:$A$113</c:f>
              <c:strCache>
                <c:ptCount val="109"/>
                <c:pt idx="0">
                  <c:v>1/2/3 Seater Elastic Sofa Cover,Living Room/Home Decor Chair Cover-Grey</c:v>
                </c:pt>
                <c:pt idx="1">
                  <c:v>100 Pcs Crochet Hook Tool Set Knitting Hook Set With Box</c:v>
                </c:pt>
                <c:pt idx="2">
                  <c:v>115  Piece Set Of Multifunctional Precision Screwdrivers</c:v>
                </c:pt>
                <c:pt idx="3">
                  <c:v>12 Litre Black Insulated Lunch Box</c:v>
                </c:pt>
                <c:pt idx="4">
                  <c:v>12 Litre Insulated Lunch Box Grey</c:v>
                </c:pt>
                <c:pt idx="5">
                  <c:v>120W Cordless Vacuum Cleaners Handheld Electric Vacuum Cleaner</c:v>
                </c:pt>
                <c:pt idx="6">
                  <c:v>12V 19500rpm Handheld Electric Angle Grinder Tool - UK - Yellow/Black</c:v>
                </c:pt>
                <c:pt idx="7">
                  <c:v>13 In 1 Home Repair Tools Box Kit Set</c:v>
                </c:pt>
                <c:pt idx="8">
                  <c:v>137 Pieces Cake Decorating Tool Set Baking Supplies</c:v>
                </c:pt>
                <c:pt idx="9">
                  <c:v>1PC Refrigerator Food Seal Pocket Fridge Bags</c:v>
                </c:pt>
                <c:pt idx="10">
                  <c:v>2 Pairs Cowhide Split Leather Work Gloves.32â„‰ Or Above Welding Gloves</c:v>
                </c:pt>
                <c:pt idx="11">
                  <c:v>220V 60W Electric Soldering Iron Kits With Tools, Tips, And Multimeter</c:v>
                </c:pt>
                <c:pt idx="12">
                  <c:v>24 Grid Wall-mounted Sundries Organiser Fabric Closet Bag Storage Rack</c:v>
                </c:pt>
                <c:pt idx="13">
                  <c:v>2PCS Ice Silk Square Cushion Cover Pillowcases - 65x65cm</c:v>
                </c:pt>
                <c:pt idx="14">
                  <c:v>2pcs Solar Street Light Flood Light Outdoor</c:v>
                </c:pt>
                <c:pt idx="15">
                  <c:v>2PCS/LOT Solar LED Outdoor Intelligent Light Controlled Wall Lamp</c:v>
                </c:pt>
                <c:pt idx="16">
                  <c:v>32PCS Portable Cordless Drill Set With Cyclic Battery Drive -26 Variable Speed</c:v>
                </c:pt>
                <c:pt idx="17">
                  <c:v>380ML USB Rechargeable Portable Small Blenders And Juicers</c:v>
                </c:pt>
                <c:pt idx="18">
                  <c:v>3D Waterproof EVA Plastic Shower Curtain 1.8*2Mtrs</c:v>
                </c:pt>
                <c:pt idx="19">
                  <c:v>3PCS Rotary Scraper Thermomix For Kitchen</c:v>
                </c:pt>
                <c:pt idx="20">
                  <c:v>3PCS Single Head Knitting Crochet Sweater Needle Set</c:v>
                </c:pt>
                <c:pt idx="21">
                  <c:v>4 Piece Coloured Stainless Steel Kitchenware Set</c:v>
                </c:pt>
                <c:pt idx="22">
                  <c:v>40cm Gold DIY Acrylic Wall Sticker Clock</c:v>
                </c:pt>
                <c:pt idx="23">
                  <c:v>4M Float Switch Water Level Controller -Water Tank</c:v>
                </c:pt>
                <c:pt idx="24">
                  <c:v>4pcs Bathroom/Kitchen Towel Rack,Roll Paper Holder,Towel Bars,Hook</c:v>
                </c:pt>
                <c:pt idx="25">
                  <c:v>5 Pieces/set Of Stainless Steel Induction Cooker Pots</c:v>
                </c:pt>
                <c:pt idx="26">
                  <c:v>52 Pieces Cake Decorating Tool Set Gift Kit Baking Supplies</c:v>
                </c:pt>
                <c:pt idx="27">
                  <c:v>53 Pieces/Set Yarn Knitting Crochet Hooks With Bag - Pansies</c:v>
                </c:pt>
                <c:pt idx="28">
                  <c:v>53Pcs/Set Yarn Knitting Crochet Hooks With Bag - Fortune Cat</c:v>
                </c:pt>
                <c:pt idx="29">
                  <c:v>5m Waterproof Spherical LED String Lights Outdoor Ball Chain Lights Party Lighting Decoration Adjustable</c:v>
                </c:pt>
                <c:pt idx="30">
                  <c:v>5-PCS Stainless Steel Cooking Pot Set With Steamed Slices</c:v>
                </c:pt>
                <c:pt idx="31">
                  <c:v>6 In 1 Bottle Can Opener Multifunctional Easy Opener</c:v>
                </c:pt>
                <c:pt idx="32">
                  <c:v>6 Layers Steel Pipe Assembling Dustproof Storage Shoe Cabinet</c:v>
                </c:pt>
                <c:pt idx="33">
                  <c:v>60W Hot Melt Glue Sprayer - Efficient And Stable Glue Dispensing</c:v>
                </c:pt>
                <c:pt idx="34">
                  <c:v>7PCS Silicone Thumb Knife Finger Protector Vegetable Harvesting Knife</c:v>
                </c:pt>
                <c:pt idx="35">
                  <c:v>7-piece Set Of Storage Bags, Travel Storage Bags, Shoe Bags</c:v>
                </c:pt>
                <c:pt idx="36">
                  <c:v>8in1 Screwdriver With LED Light</c:v>
                </c:pt>
                <c:pt idx="37">
                  <c:v>9pcs Gas Mask, For Painting, Dust, Formaldehyde Grinding, Polishing</c:v>
                </c:pt>
                <c:pt idx="38">
                  <c:v>Agapeon Toothbrush Holder And Toothpaste Dispenser</c:v>
                </c:pt>
                <c:pt idx="39">
                  <c:v>Angle Measuring Tool Full Metal Multi Angle Measuring Tool</c:v>
                </c:pt>
                <c:pt idx="40">
                  <c:v>Anti-Skid Absorbent Insulation Coaster  For Home Office</c:v>
                </c:pt>
                <c:pt idx="41">
                  <c:v>Artificial Potted Flowers Room Decorative Flowers (2 Pieces)</c:v>
                </c:pt>
                <c:pt idx="42">
                  <c:v>Baby Early Education Shape And Color Cognitive Training Toys</c:v>
                </c:pt>
                <c:pt idx="43">
                  <c:v>Balloon Insert, Birthday Party Balloon Set, PU Leather</c:v>
                </c:pt>
                <c:pt idx="44">
                  <c:v>Bedroom Simple Floor Hanging Clothes Rack Single Pole Hat Rack - White</c:v>
                </c:pt>
                <c:pt idx="45">
                  <c:v>Black Simple Water Cup Wine Coaster Anti Slip Absorbent</c:v>
                </c:pt>
                <c:pt idx="46">
                  <c:v>Brush &amp; Paintbrush Cleaning Tool Pink</c:v>
                </c:pt>
                <c:pt idx="47">
                  <c:v>Car Phone Charging Stand</c:v>
                </c:pt>
                <c:pt idx="48">
                  <c:v>Cartoon Car Decoration Cute Individuality For Car Home Desk</c:v>
                </c:pt>
                <c:pt idx="49">
                  <c:v>Cartoon Embroidered Mini Towel Bear Cotton Wash Cloth Hand 4pcs</c:v>
                </c:pt>
                <c:pt idx="50">
                  <c:v>Christmas Elk Fence Yard Lawn Decorations Cute For Holidays</c:v>
                </c:pt>
                <c:pt idx="51">
                  <c:v>Christmas Fence Garden Decorations Outdoor For Holiday Home</c:v>
                </c:pt>
                <c:pt idx="52">
                  <c:v>Classic Black Cat Cotton Hemp Pillow Case For Home Car</c:v>
                </c:pt>
                <c:pt idx="53">
                  <c:v>Creative Owl Shape Keychain Black</c:v>
                </c:pt>
                <c:pt idx="54">
                  <c:v>Cushion Silicone Butt Cushion Summer Ice Cushion Honeycomb Gel Cushion</c:v>
                </c:pt>
                <c:pt idx="55">
                  <c:v>Cute Christmas Fence Garden Decorations For Holiday Home</c:v>
                </c:pt>
                <c:pt idx="56">
                  <c:v>Desk Foldable Fan Adjustable Fan Strong Wind 3 Gear Usb</c:v>
                </c:pt>
                <c:pt idx="57">
                  <c:v>DIY File Folder, Office Drawer File Holder, Pen Holder, Desktop Storage Rack</c:v>
                </c:pt>
                <c:pt idx="58">
                  <c:v>Electric LED UV Mosquito Killer Lamp, Outdoor/Indoor Fly Killer Trap Light -USB</c:v>
                </c:pt>
                <c:pt idx="59">
                  <c:v>Electronic Digital Display Vernier Caliper</c:v>
                </c:pt>
                <c:pt idx="60">
                  <c:v>Exfoliate And Exfoliate Face Towel - Black</c:v>
                </c:pt>
                <c:pt idx="61">
                  <c:v>Foldable Overbed Table/Desk</c:v>
                </c:pt>
                <c:pt idx="62">
                  <c:v>Genebre 115 In 1 Screwdriver Repairing Tool Set For IPhone Cellphone Hand Tool</c:v>
                </c:pt>
                <c:pt idx="63">
                  <c:v>Household Pineapple Peeler Peeler</c:v>
                </c:pt>
                <c:pt idx="64">
                  <c:v>Intelligent  LED Body Sensor Wireless Lighting Night Light USB</c:v>
                </c:pt>
                <c:pt idx="65">
                  <c:v>Konka Healty Electric Kettle, 24-hour Heat Preservation,1.5L,800W, White</c:v>
                </c:pt>
                <c:pt idx="66">
                  <c:v>Large Lazy Inflatable Sofa Chairs PVC Lounger Seat Bag</c:v>
                </c:pt>
                <c:pt idx="67">
                  <c:v>LASA 3 Tier Bamboo Shoe Bench Storage Shelf</c:v>
                </c:pt>
                <c:pt idx="68">
                  <c:v>LASA Aluminum Folding Truck Hand Cart - 68kg Max</c:v>
                </c:pt>
                <c:pt idx="69">
                  <c:v>LASA Digital Thermometer And Hydrometer</c:v>
                </c:pt>
                <c:pt idx="70">
                  <c:v>LASA FOLDING TABLE SERVING STAND</c:v>
                </c:pt>
                <c:pt idx="71">
                  <c:v>LASA Stainless Steel Double Wall Mount Soap Dispenser - 500ml</c:v>
                </c:pt>
                <c:pt idx="72">
                  <c:v>LED Eye Protection  Desk Lamp , Study, Reading, USB Fan - Double Pen Holder</c:v>
                </c:pt>
                <c:pt idx="73">
                  <c:v>LED Romantic Spaceship Starry Sky Projector,Children's Bedroom Night Light-Blue</c:v>
                </c:pt>
                <c:pt idx="74">
                  <c:v>LED Solar Street Light-fake Camera</c:v>
                </c:pt>
                <c:pt idx="75">
                  <c:v>LED Wall Digital Alarm Clock Study Home 12 / 24H Clock Calendar</c:v>
                </c:pt>
                <c:pt idx="76">
                  <c:v>Memory Foam Neck Pillow Cover, With Pillow Core - 50*30cm</c:v>
                </c:pt>
                <c:pt idx="77">
                  <c:v>Metal Decorative Hooks Key Hangers Entryway Wall Hooks Towel Hooks - Home</c:v>
                </c:pt>
                <c:pt idx="78">
                  <c:v>Metal Wall Clock Silver Dial Crystal Jewelry Round Home Decoration Wall Clock</c:v>
                </c:pt>
                <c:pt idx="79">
                  <c:v>Modern Sofa Throw Pillow Cover-45x45cm-Blue&amp;Red</c:v>
                </c:pt>
                <c:pt idx="80">
                  <c:v>Multifunction Laser Level With Adjustment Tripod</c:v>
                </c:pt>
                <c:pt idx="81">
                  <c:v>Multifunctional Hanging Storage Box Storage Bag (4 Layers)</c:v>
                </c:pt>
                <c:pt idx="82">
                  <c:v>MultiFunctional Storage Rack Multi-layer Bookshelf</c:v>
                </c:pt>
                <c:pt idx="83">
                  <c:v>Multi-purpose Rice Drainage Basket And Fruit And Vegetable Drainage Sieve</c:v>
                </c:pt>
                <c:pt idx="84">
                  <c:v>Mythco 120COB Solar Wall Ligt With Motion Sensor And Remote Control 3 Modes</c:v>
                </c:pt>
                <c:pt idx="85">
                  <c:v>Office Chair Lumbar Back Support Spine Posture Correction Pillow Car Cushion</c:v>
                </c:pt>
                <c:pt idx="86">
                  <c:v>Outdoor Portable Water Bottle With Medicine Box - 600ML - Black</c:v>
                </c:pt>
                <c:pt idx="87">
                  <c:v>Peacock  Throw Pillow Cushion Case For Home Car</c:v>
                </c:pt>
                <c:pt idx="88">
                  <c:v>Pen Grips For Kids Pen Grip Posture Correction Tool For Kids</c:v>
                </c:pt>
                <c:pt idx="89">
                  <c:v>Pilates Cloth Bag Waterproof Durable High Capacity Purple</c:v>
                </c:pt>
                <c:pt idx="90">
                  <c:v>Portable Home Small Air Humidifier 3-Speed Fan - Green</c:v>
                </c:pt>
                <c:pt idx="91">
                  <c:v>Portable Mini Cordless Car Vacuum Cleaner - Blue</c:v>
                </c:pt>
                <c:pt idx="92">
                  <c:v>Portable Soap Dispenser Kitchen Detergent Press Box Kitchen Tools</c:v>
                </c:pt>
                <c:pt idx="93">
                  <c:v>Portable Wardrobe Nonwoven With 3 Hanging Rods And 6 Storage Shelves</c:v>
                </c:pt>
                <c:pt idx="94">
                  <c:v>Portable Wine Table With Folding Round Table</c:v>
                </c:pt>
                <c:pt idx="95">
                  <c:v>Punch-free Great Load Bearing Bathroom Storage Rack Wall Shelf-White</c:v>
                </c:pt>
                <c:pt idx="96">
                  <c:v>Sewing Machine Needle Threader Stitch Insertion Tool Automatic Quick Sewing</c:v>
                </c:pt>
                <c:pt idx="97">
                  <c:v>Shower Cap Wide Elastic Band Cover Reusable Bashroom Cap</c:v>
                </c:pt>
                <c:pt idx="98">
                  <c:v>Shower Nozzle Cleaning Unclogging Needle Mini Crevice Small Hole Cleaning Brush</c:v>
                </c:pt>
                <c:pt idx="99">
                  <c:v>Simple Metal Dog Art Sculpture Decoration For Home Office</c:v>
                </c:pt>
                <c:pt idx="100">
                  <c:v>Thickening Multipurpose Non Stick Easy To Clean Heat Resistant Spoon Pad</c:v>
                </c:pt>
                <c:pt idx="101">
                  <c:v>VIC Wireless Vacuum Cleaner Dual Use For Home And Car 120W High Power Powerful</c:v>
                </c:pt>
                <c:pt idx="102">
                  <c:v>Wall Clock With Hidden Safe Box</c:v>
                </c:pt>
                <c:pt idx="103">
                  <c:v>Wall Mount Automatic Toothpaste Dispenser Toothbrush Holder Toothpaste Squeezer</c:v>
                </c:pt>
                <c:pt idx="104">
                  <c:v>Wall-mounted Sticker Punch-free Plug Fixer</c:v>
                </c:pt>
                <c:pt idx="105">
                  <c:v>Wall-Mounted Toothbrush Toothpaste Holder With Multiple Slots</c:v>
                </c:pt>
                <c:pt idx="106">
                  <c:v>Watercolour Gold Foil Textured Print Pillow Cover</c:v>
                </c:pt>
                <c:pt idx="107">
                  <c:v>Weighing Scale Digital Bathroom Body Fat Scale USB-Black</c:v>
                </c:pt>
                <c:pt idx="108">
                  <c:v>Wrought Iron Bathroom Shelf Wall Mounted Free Punch Toilet Rack</c:v>
                </c:pt>
              </c:strCache>
            </c:strRef>
          </c:cat>
          <c:val>
            <c:numRef>
              <c:f>Sheet2!$B$4:$B$113</c:f>
              <c:numCache>
                <c:formatCode>General</c:formatCode>
                <c:ptCount val="109"/>
                <c:pt idx="0">
                  <c:v>4.5</c:v>
                </c:pt>
                <c:pt idx="1">
                  <c:v>4.7</c:v>
                </c:pt>
                <c:pt idx="2">
                  <c:v>4.5</c:v>
                </c:pt>
                <c:pt idx="3">
                  <c:v>3.8</c:v>
                </c:pt>
                <c:pt idx="4">
                  <c:v>4.7</c:v>
                </c:pt>
                <c:pt idx="5">
                  <c:v>2.8</c:v>
                </c:pt>
                <c:pt idx="7">
                  <c:v>3.8</c:v>
                </c:pt>
                <c:pt idx="8">
                  <c:v>4.5999999999999996</c:v>
                </c:pt>
                <c:pt idx="11">
                  <c:v>4</c:v>
                </c:pt>
                <c:pt idx="16">
                  <c:v>3</c:v>
                </c:pt>
                <c:pt idx="17">
                  <c:v>2.2999999999999998</c:v>
                </c:pt>
                <c:pt idx="18">
                  <c:v>4.5999999999999996</c:v>
                </c:pt>
                <c:pt idx="20">
                  <c:v>3.3</c:v>
                </c:pt>
                <c:pt idx="22">
                  <c:v>4.8</c:v>
                </c:pt>
                <c:pt idx="25">
                  <c:v>2.5</c:v>
                </c:pt>
                <c:pt idx="26">
                  <c:v>4.0999999999999996</c:v>
                </c:pt>
                <c:pt idx="27">
                  <c:v>4.5</c:v>
                </c:pt>
                <c:pt idx="28">
                  <c:v>4.7</c:v>
                </c:pt>
                <c:pt idx="30">
                  <c:v>2.1</c:v>
                </c:pt>
                <c:pt idx="35">
                  <c:v>2.2000000000000002</c:v>
                </c:pt>
                <c:pt idx="38">
                  <c:v>2.6</c:v>
                </c:pt>
                <c:pt idx="40">
                  <c:v>5</c:v>
                </c:pt>
                <c:pt idx="41">
                  <c:v>2.2000000000000002</c:v>
                </c:pt>
                <c:pt idx="44">
                  <c:v>5</c:v>
                </c:pt>
                <c:pt idx="52">
                  <c:v>5</c:v>
                </c:pt>
                <c:pt idx="56">
                  <c:v>4</c:v>
                </c:pt>
                <c:pt idx="57">
                  <c:v>5</c:v>
                </c:pt>
                <c:pt idx="58">
                  <c:v>2.1</c:v>
                </c:pt>
                <c:pt idx="59">
                  <c:v>4.5999999999999996</c:v>
                </c:pt>
                <c:pt idx="60">
                  <c:v>4.3</c:v>
                </c:pt>
                <c:pt idx="61">
                  <c:v>4.4000000000000004</c:v>
                </c:pt>
                <c:pt idx="62">
                  <c:v>4.0999999999999996</c:v>
                </c:pt>
                <c:pt idx="63">
                  <c:v>4</c:v>
                </c:pt>
                <c:pt idx="64">
                  <c:v>2.7</c:v>
                </c:pt>
                <c:pt idx="65">
                  <c:v>5</c:v>
                </c:pt>
                <c:pt idx="66">
                  <c:v>3</c:v>
                </c:pt>
                <c:pt idx="67">
                  <c:v>4.3</c:v>
                </c:pt>
                <c:pt idx="68">
                  <c:v>5</c:v>
                </c:pt>
                <c:pt idx="69">
                  <c:v>4.5</c:v>
                </c:pt>
                <c:pt idx="70">
                  <c:v>4.8</c:v>
                </c:pt>
                <c:pt idx="72">
                  <c:v>4.3</c:v>
                </c:pt>
                <c:pt idx="73">
                  <c:v>4</c:v>
                </c:pt>
                <c:pt idx="75">
                  <c:v>4.5999999999999996</c:v>
                </c:pt>
                <c:pt idx="76">
                  <c:v>3</c:v>
                </c:pt>
                <c:pt idx="77">
                  <c:v>4.0999999999999996</c:v>
                </c:pt>
                <c:pt idx="80">
                  <c:v>4.2</c:v>
                </c:pt>
                <c:pt idx="84">
                  <c:v>3</c:v>
                </c:pt>
                <c:pt idx="87">
                  <c:v>5</c:v>
                </c:pt>
                <c:pt idx="90">
                  <c:v>4.8</c:v>
                </c:pt>
                <c:pt idx="91">
                  <c:v>4.5999999999999996</c:v>
                </c:pt>
                <c:pt idx="93">
                  <c:v>3.8</c:v>
                </c:pt>
                <c:pt idx="95">
                  <c:v>4.3</c:v>
                </c:pt>
                <c:pt idx="101">
                  <c:v>2.9</c:v>
                </c:pt>
                <c:pt idx="104">
                  <c:v>2</c:v>
                </c:pt>
                <c:pt idx="106">
                  <c:v>2.2999999999999998</c:v>
                </c:pt>
                <c:pt idx="107">
                  <c:v>4.7</c:v>
                </c:pt>
                <c:pt idx="108">
                  <c:v>3</c:v>
                </c:pt>
              </c:numCache>
            </c:numRef>
          </c:val>
          <c:extLst>
            <c:ext xmlns:c16="http://schemas.microsoft.com/office/drawing/2014/chart" uri="{C3380CC4-5D6E-409C-BE32-E72D297353CC}">
              <c16:uniqueId val="{00000000-B8D8-42F0-9986-338F261CB6B1}"/>
            </c:ext>
          </c:extLst>
        </c:ser>
        <c:dLbls>
          <c:showLegendKey val="0"/>
          <c:showVal val="0"/>
          <c:showCatName val="0"/>
          <c:showSerName val="0"/>
          <c:showPercent val="0"/>
          <c:showBubbleSize val="0"/>
        </c:dLbls>
        <c:gapWidth val="150"/>
        <c:shape val="box"/>
        <c:axId val="807146047"/>
        <c:axId val="1808528735"/>
        <c:axId val="0"/>
      </c:bar3DChart>
      <c:catAx>
        <c:axId val="80714604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8528735"/>
        <c:crosses val="autoZero"/>
        <c:auto val="1"/>
        <c:lblAlgn val="ctr"/>
        <c:lblOffset val="100"/>
        <c:noMultiLvlLbl val="0"/>
      </c:catAx>
      <c:valAx>
        <c:axId val="1808528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146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[Collins _Ochola_Excel_jumia.xlsx]Sheet12!PivotTable7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a:t>
            </a:r>
            <a:r>
              <a:rPr lang="en-US" baseline="0"/>
              <a:t> Percentage Vs No of Reviews</a:t>
            </a:r>
            <a:endParaRPr lang="en-US"/>
          </a:p>
        </c:rich>
      </c:tx>
      <c:layout>
        <c:manualLayout>
          <c:xMode val="edge"/>
          <c:yMode val="edge"/>
          <c:x val="0.23072222222222222"/>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Sheet12!$B$3</c:f>
              <c:strCache>
                <c:ptCount val="1"/>
                <c:pt idx="0">
                  <c:v>Total</c:v>
                </c:pt>
              </c:strCache>
            </c:strRef>
          </c:tx>
          <c:spPr>
            <a:solidFill>
              <a:schemeClr val="accent1"/>
            </a:solidFill>
            <a:ln>
              <a:noFill/>
            </a:ln>
            <a:effectLst/>
          </c:spPr>
          <c:invertIfNegative val="0"/>
          <c:cat>
            <c:strRef>
              <c:f>Sheet12!$A$4:$A$50</c:f>
              <c:strCache>
                <c:ptCount val="46"/>
                <c:pt idx="0">
                  <c:v>1%</c:v>
                </c:pt>
                <c:pt idx="1">
                  <c:v>2%</c:v>
                </c:pt>
                <c:pt idx="2">
                  <c:v>3%</c:v>
                </c:pt>
                <c:pt idx="3">
                  <c:v>4%</c:v>
                </c:pt>
                <c:pt idx="4">
                  <c:v>8%</c:v>
                </c:pt>
                <c:pt idx="5">
                  <c:v>9%</c:v>
                </c:pt>
                <c:pt idx="6">
                  <c:v>11%</c:v>
                </c:pt>
                <c:pt idx="7">
                  <c:v>13%</c:v>
                </c:pt>
                <c:pt idx="8">
                  <c:v>14%</c:v>
                </c:pt>
                <c:pt idx="9">
                  <c:v>18%</c:v>
                </c:pt>
                <c:pt idx="10">
                  <c:v>19%</c:v>
                </c:pt>
                <c:pt idx="11">
                  <c:v>20%</c:v>
                </c:pt>
                <c:pt idx="12">
                  <c:v>21%</c:v>
                </c:pt>
                <c:pt idx="13">
                  <c:v>22%</c:v>
                </c:pt>
                <c:pt idx="14">
                  <c:v>23%</c:v>
                </c:pt>
                <c:pt idx="15">
                  <c:v>24%</c:v>
                </c:pt>
                <c:pt idx="16">
                  <c:v>25%</c:v>
                </c:pt>
                <c:pt idx="17">
                  <c:v>26%</c:v>
                </c:pt>
                <c:pt idx="18">
                  <c:v>27%</c:v>
                </c:pt>
                <c:pt idx="19">
                  <c:v>29%</c:v>
                </c:pt>
                <c:pt idx="20">
                  <c:v>30%</c:v>
                </c:pt>
                <c:pt idx="21">
                  <c:v>32%</c:v>
                </c:pt>
                <c:pt idx="22">
                  <c:v>33%</c:v>
                </c:pt>
                <c:pt idx="23">
                  <c:v>34%</c:v>
                </c:pt>
                <c:pt idx="24">
                  <c:v>35%</c:v>
                </c:pt>
                <c:pt idx="25">
                  <c:v>36%</c:v>
                </c:pt>
                <c:pt idx="26">
                  <c:v>37%</c:v>
                </c:pt>
                <c:pt idx="27">
                  <c:v>38%</c:v>
                </c:pt>
                <c:pt idx="28">
                  <c:v>39%</c:v>
                </c:pt>
                <c:pt idx="29">
                  <c:v>40%</c:v>
                </c:pt>
                <c:pt idx="30">
                  <c:v>41%</c:v>
                </c:pt>
                <c:pt idx="31">
                  <c:v>42%</c:v>
                </c:pt>
                <c:pt idx="32">
                  <c:v>43%</c:v>
                </c:pt>
                <c:pt idx="33">
                  <c:v>45%</c:v>
                </c:pt>
                <c:pt idx="34">
                  <c:v>46%</c:v>
                </c:pt>
                <c:pt idx="35">
                  <c:v>47%</c:v>
                </c:pt>
                <c:pt idx="36">
                  <c:v>48%</c:v>
                </c:pt>
                <c:pt idx="37">
                  <c:v>49%</c:v>
                </c:pt>
                <c:pt idx="38">
                  <c:v>50%</c:v>
                </c:pt>
                <c:pt idx="39">
                  <c:v>51%</c:v>
                </c:pt>
                <c:pt idx="40">
                  <c:v>52%</c:v>
                </c:pt>
                <c:pt idx="41">
                  <c:v>53%</c:v>
                </c:pt>
                <c:pt idx="42">
                  <c:v>54%</c:v>
                </c:pt>
                <c:pt idx="43">
                  <c:v>55%</c:v>
                </c:pt>
                <c:pt idx="44">
                  <c:v>61%</c:v>
                </c:pt>
                <c:pt idx="45">
                  <c:v>64%</c:v>
                </c:pt>
              </c:strCache>
            </c:strRef>
          </c:cat>
          <c:val>
            <c:numRef>
              <c:f>Sheet12!$B$4:$B$50</c:f>
              <c:numCache>
                <c:formatCode>General</c:formatCode>
                <c:ptCount val="46"/>
                <c:pt idx="5">
                  <c:v>15</c:v>
                </c:pt>
                <c:pt idx="7">
                  <c:v>6</c:v>
                </c:pt>
                <c:pt idx="9">
                  <c:v>12</c:v>
                </c:pt>
                <c:pt idx="10">
                  <c:v>5</c:v>
                </c:pt>
                <c:pt idx="11">
                  <c:v>12</c:v>
                </c:pt>
                <c:pt idx="12">
                  <c:v>1</c:v>
                </c:pt>
                <c:pt idx="13">
                  <c:v>16</c:v>
                </c:pt>
                <c:pt idx="14">
                  <c:v>14</c:v>
                </c:pt>
                <c:pt idx="15">
                  <c:v>55</c:v>
                </c:pt>
                <c:pt idx="16">
                  <c:v>24</c:v>
                </c:pt>
                <c:pt idx="17">
                  <c:v>5</c:v>
                </c:pt>
                <c:pt idx="18">
                  <c:v>52</c:v>
                </c:pt>
                <c:pt idx="19">
                  <c:v>5</c:v>
                </c:pt>
                <c:pt idx="20">
                  <c:v>20</c:v>
                </c:pt>
                <c:pt idx="21">
                  <c:v>13</c:v>
                </c:pt>
                <c:pt idx="22">
                  <c:v>9</c:v>
                </c:pt>
                <c:pt idx="23">
                  <c:v>51</c:v>
                </c:pt>
                <c:pt idx="24">
                  <c:v>55</c:v>
                </c:pt>
                <c:pt idx="26">
                  <c:v>9</c:v>
                </c:pt>
                <c:pt idx="27">
                  <c:v>4</c:v>
                </c:pt>
                <c:pt idx="28">
                  <c:v>5</c:v>
                </c:pt>
                <c:pt idx="29">
                  <c:v>1</c:v>
                </c:pt>
                <c:pt idx="30">
                  <c:v>36</c:v>
                </c:pt>
                <c:pt idx="31">
                  <c:v>6</c:v>
                </c:pt>
                <c:pt idx="32">
                  <c:v>11</c:v>
                </c:pt>
                <c:pt idx="33">
                  <c:v>28</c:v>
                </c:pt>
                <c:pt idx="34">
                  <c:v>3</c:v>
                </c:pt>
                <c:pt idx="35">
                  <c:v>39</c:v>
                </c:pt>
                <c:pt idx="36">
                  <c:v>9</c:v>
                </c:pt>
                <c:pt idx="37">
                  <c:v>118</c:v>
                </c:pt>
                <c:pt idx="38">
                  <c:v>8</c:v>
                </c:pt>
                <c:pt idx="39">
                  <c:v>2</c:v>
                </c:pt>
                <c:pt idx="40">
                  <c:v>24</c:v>
                </c:pt>
                <c:pt idx="41">
                  <c:v>15</c:v>
                </c:pt>
                <c:pt idx="42">
                  <c:v>17</c:v>
                </c:pt>
                <c:pt idx="43">
                  <c:v>18</c:v>
                </c:pt>
              </c:numCache>
            </c:numRef>
          </c:val>
          <c:extLst>
            <c:ext xmlns:c16="http://schemas.microsoft.com/office/drawing/2014/chart" uri="{C3380CC4-5D6E-409C-BE32-E72D297353CC}">
              <c16:uniqueId val="{00000000-B427-4E3D-BCC1-628947D99A4D}"/>
            </c:ext>
          </c:extLst>
        </c:ser>
        <c:dLbls>
          <c:showLegendKey val="0"/>
          <c:showVal val="0"/>
          <c:showCatName val="0"/>
          <c:showSerName val="0"/>
          <c:showPercent val="0"/>
          <c:showBubbleSize val="0"/>
        </c:dLbls>
        <c:gapWidth val="219"/>
        <c:overlap val="-27"/>
        <c:axId val="1060608703"/>
        <c:axId val="1060605375"/>
      </c:barChart>
      <c:catAx>
        <c:axId val="1060608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605375"/>
        <c:crosses val="autoZero"/>
        <c:auto val="1"/>
        <c:lblAlgn val="ctr"/>
        <c:lblOffset val="100"/>
        <c:noMultiLvlLbl val="0"/>
      </c:catAx>
      <c:valAx>
        <c:axId val="10606053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6087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[Collins _Ochola_Excel_jumia.xlsx]Sheet13!PivotTable8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a:t>
            </a:r>
            <a:r>
              <a:rPr lang="en-US" baseline="0"/>
              <a:t> Vs The Number Of reviews</a:t>
            </a:r>
            <a:endParaRPr lang="en-US"/>
          </a:p>
        </c:rich>
      </c:tx>
      <c:layout>
        <c:manualLayout>
          <c:xMode val="edge"/>
          <c:yMode val="edge"/>
          <c:x val="0.2562567804024497"/>
          <c:y val="7.20326625838436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Sheet13!$B$3</c:f>
              <c:strCache>
                <c:ptCount val="1"/>
                <c:pt idx="0">
                  <c:v>Total</c:v>
                </c:pt>
              </c:strCache>
            </c:strRef>
          </c:tx>
          <c:spPr>
            <a:solidFill>
              <a:schemeClr val="accent1"/>
            </a:solidFill>
            <a:ln>
              <a:noFill/>
            </a:ln>
            <a:effectLst/>
          </c:spPr>
          <c:cat>
            <c:strRef>
              <c:f>Sheet13!$A$4:$A$26</c:f>
              <c:strCache>
                <c:ptCount val="22"/>
                <c:pt idx="0">
                  <c:v>2</c:v>
                </c:pt>
                <c:pt idx="1">
                  <c:v>2.1</c:v>
                </c:pt>
                <c:pt idx="2">
                  <c:v>2.2</c:v>
                </c:pt>
                <c:pt idx="3">
                  <c:v>2.3</c:v>
                </c:pt>
                <c:pt idx="4">
                  <c:v>2.5</c:v>
                </c:pt>
                <c:pt idx="5">
                  <c:v>2.6</c:v>
                </c:pt>
                <c:pt idx="6">
                  <c:v>2.7</c:v>
                </c:pt>
                <c:pt idx="7">
                  <c:v>2.8</c:v>
                </c:pt>
                <c:pt idx="8">
                  <c:v>2.9</c:v>
                </c:pt>
                <c:pt idx="9">
                  <c:v>3</c:v>
                </c:pt>
                <c:pt idx="10">
                  <c:v>3.3</c:v>
                </c:pt>
                <c:pt idx="11">
                  <c:v>3.8</c:v>
                </c:pt>
                <c:pt idx="12">
                  <c:v>4</c:v>
                </c:pt>
                <c:pt idx="13">
                  <c:v>4.1</c:v>
                </c:pt>
                <c:pt idx="14">
                  <c:v>4.2</c:v>
                </c:pt>
                <c:pt idx="15">
                  <c:v>4.3</c:v>
                </c:pt>
                <c:pt idx="16">
                  <c:v>4.4</c:v>
                </c:pt>
                <c:pt idx="17">
                  <c:v>4.5</c:v>
                </c:pt>
                <c:pt idx="18">
                  <c:v>4.6</c:v>
                </c:pt>
                <c:pt idx="19">
                  <c:v>4.7</c:v>
                </c:pt>
                <c:pt idx="20">
                  <c:v>4.8</c:v>
                </c:pt>
                <c:pt idx="21">
                  <c:v>5</c:v>
                </c:pt>
              </c:strCache>
            </c:strRef>
          </c:cat>
          <c:val>
            <c:numRef>
              <c:f>Sheet13!$B$4:$B$26</c:f>
              <c:numCache>
                <c:formatCode>General</c:formatCode>
                <c:ptCount val="22"/>
                <c:pt idx="0">
                  <c:v>1</c:v>
                </c:pt>
                <c:pt idx="1">
                  <c:v>20</c:v>
                </c:pt>
                <c:pt idx="2">
                  <c:v>12</c:v>
                </c:pt>
                <c:pt idx="3">
                  <c:v>13</c:v>
                </c:pt>
                <c:pt idx="4">
                  <c:v>6</c:v>
                </c:pt>
                <c:pt idx="5">
                  <c:v>17</c:v>
                </c:pt>
                <c:pt idx="6">
                  <c:v>15</c:v>
                </c:pt>
                <c:pt idx="7">
                  <c:v>69</c:v>
                </c:pt>
                <c:pt idx="8">
                  <c:v>16</c:v>
                </c:pt>
                <c:pt idx="9">
                  <c:v>26</c:v>
                </c:pt>
                <c:pt idx="10">
                  <c:v>13</c:v>
                </c:pt>
                <c:pt idx="11">
                  <c:v>30</c:v>
                </c:pt>
                <c:pt idx="12">
                  <c:v>24</c:v>
                </c:pt>
                <c:pt idx="13">
                  <c:v>46</c:v>
                </c:pt>
                <c:pt idx="14">
                  <c:v>9</c:v>
                </c:pt>
                <c:pt idx="15">
                  <c:v>61</c:v>
                </c:pt>
                <c:pt idx="16">
                  <c:v>14</c:v>
                </c:pt>
                <c:pt idx="17">
                  <c:v>42</c:v>
                </c:pt>
                <c:pt idx="18">
                  <c:v>177</c:v>
                </c:pt>
                <c:pt idx="19">
                  <c:v>78</c:v>
                </c:pt>
                <c:pt idx="20">
                  <c:v>22</c:v>
                </c:pt>
                <c:pt idx="21">
                  <c:v>12</c:v>
                </c:pt>
              </c:numCache>
            </c:numRef>
          </c:val>
          <c:extLst>
            <c:ext xmlns:c16="http://schemas.microsoft.com/office/drawing/2014/chart" uri="{C3380CC4-5D6E-409C-BE32-E72D297353CC}">
              <c16:uniqueId val="{00000000-DF29-41C1-9406-E7FBCDBCADE0}"/>
            </c:ext>
          </c:extLst>
        </c:ser>
        <c:dLbls>
          <c:showLegendKey val="0"/>
          <c:showVal val="0"/>
          <c:showCatName val="0"/>
          <c:showSerName val="0"/>
          <c:showPercent val="0"/>
          <c:showBubbleSize val="0"/>
        </c:dLbls>
        <c:axId val="1224293119"/>
        <c:axId val="1224294367"/>
      </c:areaChart>
      <c:catAx>
        <c:axId val="122429311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294367"/>
        <c:crosses val="autoZero"/>
        <c:auto val="1"/>
        <c:lblAlgn val="ctr"/>
        <c:lblOffset val="100"/>
        <c:noMultiLvlLbl val="0"/>
      </c:catAx>
      <c:valAx>
        <c:axId val="12242943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429311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[Collins _Ochola_Excel_jumia.xlsx]Sheet14!PivotTable9</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a:t>
            </a:r>
            <a:r>
              <a:rPr lang="en-US" baseline="0"/>
              <a:t> of Product Acording to the Rating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Sheet14!$B$3</c:f>
              <c:strCache>
                <c:ptCount val="1"/>
                <c:pt idx="0">
                  <c:v>Total</c:v>
                </c:pt>
              </c:strCache>
            </c:strRef>
          </c:tx>
          <c:spPr>
            <a:ln w="28575" cap="rnd">
              <a:solidFill>
                <a:schemeClr val="accent1"/>
              </a:solidFill>
              <a:round/>
            </a:ln>
            <a:effectLst/>
          </c:spPr>
          <c:marker>
            <c:symbol val="none"/>
          </c:marker>
          <c:cat>
            <c:strRef>
              <c:f>Sheet14!$A$4:$A$8</c:f>
              <c:strCache>
                <c:ptCount val="4"/>
                <c:pt idx="0">
                  <c:v>Average Rating</c:v>
                </c:pt>
                <c:pt idx="1">
                  <c:v>Excellent Rating</c:v>
                </c:pt>
                <c:pt idx="2">
                  <c:v>Poor rating</c:v>
                </c:pt>
                <c:pt idx="3">
                  <c:v>Unknown</c:v>
                </c:pt>
              </c:strCache>
            </c:strRef>
          </c:cat>
          <c:val>
            <c:numRef>
              <c:f>Sheet14!$B$4:$B$8</c:f>
              <c:numCache>
                <c:formatCode>General</c:formatCode>
                <c:ptCount val="4"/>
                <c:pt idx="0">
                  <c:v>22</c:v>
                </c:pt>
                <c:pt idx="1">
                  <c:v>23</c:v>
                </c:pt>
                <c:pt idx="2">
                  <c:v>12</c:v>
                </c:pt>
                <c:pt idx="3">
                  <c:v>55</c:v>
                </c:pt>
              </c:numCache>
            </c:numRef>
          </c:val>
          <c:smooth val="0"/>
          <c:extLst>
            <c:ext xmlns:c16="http://schemas.microsoft.com/office/drawing/2014/chart" uri="{C3380CC4-5D6E-409C-BE32-E72D297353CC}">
              <c16:uniqueId val="{00000000-D096-480C-9B5D-B9D1CB357008}"/>
            </c:ext>
          </c:extLst>
        </c:ser>
        <c:dLbls>
          <c:showLegendKey val="0"/>
          <c:showVal val="0"/>
          <c:showCatName val="0"/>
          <c:showSerName val="0"/>
          <c:showPercent val="0"/>
          <c:showBubbleSize val="0"/>
        </c:dLbls>
        <c:smooth val="0"/>
        <c:axId val="1242474639"/>
        <c:axId val="1242479215"/>
      </c:lineChart>
      <c:catAx>
        <c:axId val="12424746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479215"/>
        <c:crosses val="autoZero"/>
        <c:auto val="1"/>
        <c:lblAlgn val="ctr"/>
        <c:lblOffset val="100"/>
        <c:noMultiLvlLbl val="0"/>
      </c:catAx>
      <c:valAx>
        <c:axId val="1242479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474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[Collins _Ochola_Excel_jumia.xlsx]Sheet17!PivotTable11</c:name>
    <c:fmtId val="0"/>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US" sz="1100"/>
              <a:t>No</a:t>
            </a:r>
            <a:r>
              <a:rPr lang="en-US" sz="1100" baseline="0"/>
              <a:t> Of Products Vs Discount Category Vs Rating</a:t>
            </a:r>
            <a:endParaRPr lang="en-US" sz="1100"/>
          </a:p>
        </c:rich>
      </c:tx>
      <c:layout>
        <c:manualLayout>
          <c:xMode val="edge"/>
          <c:yMode val="edge"/>
          <c:x val="0.24126377952755912"/>
          <c:y val="0.10546077573636629"/>
        </c:manualLayout>
      </c:layout>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803149606299209E-2"/>
          <c:y val="0.14249781277340332"/>
          <c:w val="0.67620538057742785"/>
          <c:h val="0.65853091280256637"/>
        </c:manualLayout>
      </c:layout>
      <c:barChart>
        <c:barDir val="col"/>
        <c:grouping val="clustered"/>
        <c:varyColors val="0"/>
        <c:ser>
          <c:idx val="0"/>
          <c:order val="0"/>
          <c:tx>
            <c:strRef>
              <c:f>Sheet17!$B$3:$B$4</c:f>
              <c:strCache>
                <c:ptCount val="1"/>
                <c:pt idx="0">
                  <c:v>Average Rating</c:v>
                </c:pt>
              </c:strCache>
            </c:strRef>
          </c:tx>
          <c:spPr>
            <a:solidFill>
              <a:schemeClr val="accent1"/>
            </a:solidFill>
            <a:ln>
              <a:noFill/>
            </a:ln>
            <a:effectLst/>
          </c:spPr>
          <c:invertIfNegative val="0"/>
          <c:cat>
            <c:strRef>
              <c:f>Sheet17!$A$5:$A$8</c:f>
              <c:strCache>
                <c:ptCount val="3"/>
                <c:pt idx="0">
                  <c:v>High Discount</c:v>
                </c:pt>
                <c:pt idx="1">
                  <c:v>Low Discount</c:v>
                </c:pt>
                <c:pt idx="2">
                  <c:v>Medium Discount</c:v>
                </c:pt>
              </c:strCache>
            </c:strRef>
          </c:cat>
          <c:val>
            <c:numRef>
              <c:f>Sheet17!$B$5:$B$8</c:f>
              <c:numCache>
                <c:formatCode>General</c:formatCode>
                <c:ptCount val="3"/>
                <c:pt idx="0">
                  <c:v>11</c:v>
                </c:pt>
                <c:pt idx="1">
                  <c:v>2</c:v>
                </c:pt>
                <c:pt idx="2">
                  <c:v>9</c:v>
                </c:pt>
              </c:numCache>
            </c:numRef>
          </c:val>
          <c:extLst>
            <c:ext xmlns:c16="http://schemas.microsoft.com/office/drawing/2014/chart" uri="{C3380CC4-5D6E-409C-BE32-E72D297353CC}">
              <c16:uniqueId val="{00000000-7DE0-4382-87B2-1FAC1877491A}"/>
            </c:ext>
          </c:extLst>
        </c:ser>
        <c:ser>
          <c:idx val="1"/>
          <c:order val="1"/>
          <c:tx>
            <c:strRef>
              <c:f>Sheet17!$C$3:$C$4</c:f>
              <c:strCache>
                <c:ptCount val="1"/>
                <c:pt idx="0">
                  <c:v>Excellent Rating</c:v>
                </c:pt>
              </c:strCache>
            </c:strRef>
          </c:tx>
          <c:spPr>
            <a:solidFill>
              <a:schemeClr val="accent2"/>
            </a:solidFill>
            <a:ln>
              <a:noFill/>
            </a:ln>
            <a:effectLst/>
          </c:spPr>
          <c:invertIfNegative val="0"/>
          <c:cat>
            <c:strRef>
              <c:f>Sheet17!$A$5:$A$8</c:f>
              <c:strCache>
                <c:ptCount val="3"/>
                <c:pt idx="0">
                  <c:v>High Discount</c:v>
                </c:pt>
                <c:pt idx="1">
                  <c:v>Low Discount</c:v>
                </c:pt>
                <c:pt idx="2">
                  <c:v>Medium Discount</c:v>
                </c:pt>
              </c:strCache>
            </c:strRef>
          </c:cat>
          <c:val>
            <c:numRef>
              <c:f>Sheet17!$C$5:$C$8</c:f>
              <c:numCache>
                <c:formatCode>General</c:formatCode>
                <c:ptCount val="3"/>
                <c:pt idx="0">
                  <c:v>9</c:v>
                </c:pt>
                <c:pt idx="1">
                  <c:v>1</c:v>
                </c:pt>
                <c:pt idx="2">
                  <c:v>13</c:v>
                </c:pt>
              </c:numCache>
            </c:numRef>
          </c:val>
          <c:extLst>
            <c:ext xmlns:c16="http://schemas.microsoft.com/office/drawing/2014/chart" uri="{C3380CC4-5D6E-409C-BE32-E72D297353CC}">
              <c16:uniqueId val="{00000006-541A-446F-8EC0-D92D497B6BE9}"/>
            </c:ext>
          </c:extLst>
        </c:ser>
        <c:ser>
          <c:idx val="2"/>
          <c:order val="2"/>
          <c:tx>
            <c:strRef>
              <c:f>Sheet17!$D$3:$D$4</c:f>
              <c:strCache>
                <c:ptCount val="1"/>
                <c:pt idx="0">
                  <c:v>Poor rating</c:v>
                </c:pt>
              </c:strCache>
            </c:strRef>
          </c:tx>
          <c:spPr>
            <a:solidFill>
              <a:schemeClr val="accent3"/>
            </a:solidFill>
            <a:ln>
              <a:noFill/>
            </a:ln>
            <a:effectLst/>
          </c:spPr>
          <c:invertIfNegative val="0"/>
          <c:cat>
            <c:strRef>
              <c:f>Sheet17!$A$5:$A$8</c:f>
              <c:strCache>
                <c:ptCount val="3"/>
                <c:pt idx="0">
                  <c:v>High Discount</c:v>
                </c:pt>
                <c:pt idx="1">
                  <c:v>Low Discount</c:v>
                </c:pt>
                <c:pt idx="2">
                  <c:v>Medium Discount</c:v>
                </c:pt>
              </c:strCache>
            </c:strRef>
          </c:cat>
          <c:val>
            <c:numRef>
              <c:f>Sheet17!$D$5:$D$8</c:f>
              <c:numCache>
                <c:formatCode>General</c:formatCode>
                <c:ptCount val="3"/>
                <c:pt idx="0">
                  <c:v>10</c:v>
                </c:pt>
                <c:pt idx="1">
                  <c:v>1</c:v>
                </c:pt>
                <c:pt idx="2">
                  <c:v>1</c:v>
                </c:pt>
              </c:numCache>
            </c:numRef>
          </c:val>
          <c:extLst>
            <c:ext xmlns:c16="http://schemas.microsoft.com/office/drawing/2014/chart" uri="{C3380CC4-5D6E-409C-BE32-E72D297353CC}">
              <c16:uniqueId val="{00000007-541A-446F-8EC0-D92D497B6BE9}"/>
            </c:ext>
          </c:extLst>
        </c:ser>
        <c:ser>
          <c:idx val="3"/>
          <c:order val="3"/>
          <c:tx>
            <c:strRef>
              <c:f>Sheet17!$E$3:$E$4</c:f>
              <c:strCache>
                <c:ptCount val="1"/>
                <c:pt idx="0">
                  <c:v>Unknown</c:v>
                </c:pt>
              </c:strCache>
            </c:strRef>
          </c:tx>
          <c:spPr>
            <a:solidFill>
              <a:schemeClr val="accent4"/>
            </a:solidFill>
            <a:ln>
              <a:noFill/>
            </a:ln>
            <a:effectLst/>
          </c:spPr>
          <c:invertIfNegative val="0"/>
          <c:cat>
            <c:strRef>
              <c:f>Sheet17!$A$5:$A$8</c:f>
              <c:strCache>
                <c:ptCount val="3"/>
                <c:pt idx="0">
                  <c:v>High Discount</c:v>
                </c:pt>
                <c:pt idx="1">
                  <c:v>Low Discount</c:v>
                </c:pt>
                <c:pt idx="2">
                  <c:v>Medium Discount</c:v>
                </c:pt>
              </c:strCache>
            </c:strRef>
          </c:cat>
          <c:val>
            <c:numRef>
              <c:f>Sheet17!$E$5:$E$8</c:f>
              <c:numCache>
                <c:formatCode>General</c:formatCode>
                <c:ptCount val="3"/>
                <c:pt idx="0">
                  <c:v>32</c:v>
                </c:pt>
                <c:pt idx="1">
                  <c:v>14</c:v>
                </c:pt>
                <c:pt idx="2">
                  <c:v>9</c:v>
                </c:pt>
              </c:numCache>
            </c:numRef>
          </c:val>
          <c:extLst>
            <c:ext xmlns:c16="http://schemas.microsoft.com/office/drawing/2014/chart" uri="{C3380CC4-5D6E-409C-BE32-E72D297353CC}">
              <c16:uniqueId val="{00000008-541A-446F-8EC0-D92D497B6BE9}"/>
            </c:ext>
          </c:extLst>
        </c:ser>
        <c:dLbls>
          <c:showLegendKey val="0"/>
          <c:showVal val="0"/>
          <c:showCatName val="0"/>
          <c:showSerName val="0"/>
          <c:showPercent val="0"/>
          <c:showBubbleSize val="0"/>
        </c:dLbls>
        <c:gapWidth val="219"/>
        <c:overlap val="-27"/>
        <c:axId val="1060606207"/>
        <c:axId val="1060599967"/>
      </c:barChart>
      <c:catAx>
        <c:axId val="1060606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599967"/>
        <c:crosses val="autoZero"/>
        <c:auto val="1"/>
        <c:lblAlgn val="ctr"/>
        <c:lblOffset val="100"/>
        <c:noMultiLvlLbl val="0"/>
      </c:catAx>
      <c:valAx>
        <c:axId val="1060599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0606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[Collins _Ochola_Excel_jumia.xlsx]Sheet14!PivotTable9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a:t>
            </a:r>
            <a:r>
              <a:rPr lang="en-US" baseline="0"/>
              <a:t> of Product Acording to the Rating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Sheet14!$B$3</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Sheet14!$A$4:$A$8</c:f>
              <c:strCache>
                <c:ptCount val="4"/>
                <c:pt idx="0">
                  <c:v>Average Rating</c:v>
                </c:pt>
                <c:pt idx="1">
                  <c:v>Excellent Rating</c:v>
                </c:pt>
                <c:pt idx="2">
                  <c:v>Poor rating</c:v>
                </c:pt>
                <c:pt idx="3">
                  <c:v>Unknown</c:v>
                </c:pt>
              </c:strCache>
            </c:strRef>
          </c:cat>
          <c:val>
            <c:numRef>
              <c:f>Sheet14!$B$4:$B$8</c:f>
              <c:numCache>
                <c:formatCode>General</c:formatCode>
                <c:ptCount val="4"/>
                <c:pt idx="0">
                  <c:v>22</c:v>
                </c:pt>
                <c:pt idx="1">
                  <c:v>23</c:v>
                </c:pt>
                <c:pt idx="2">
                  <c:v>12</c:v>
                </c:pt>
                <c:pt idx="3">
                  <c:v>55</c:v>
                </c:pt>
              </c:numCache>
            </c:numRef>
          </c:val>
          <c:smooth val="0"/>
          <c:extLst>
            <c:ext xmlns:c16="http://schemas.microsoft.com/office/drawing/2014/chart" uri="{C3380CC4-5D6E-409C-BE32-E72D297353CC}">
              <c16:uniqueId val="{00000000-9380-467D-993E-883F10E3B507}"/>
            </c:ext>
          </c:extLst>
        </c:ser>
        <c:dLbls>
          <c:dLblPos val="t"/>
          <c:showLegendKey val="0"/>
          <c:showVal val="1"/>
          <c:showCatName val="0"/>
          <c:showSerName val="0"/>
          <c:showPercent val="0"/>
          <c:showBubbleSize val="0"/>
        </c:dLbls>
        <c:smooth val="0"/>
        <c:axId val="1242474639"/>
        <c:axId val="1242479215"/>
      </c:lineChart>
      <c:catAx>
        <c:axId val="12424746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479215"/>
        <c:crosses val="autoZero"/>
        <c:auto val="1"/>
        <c:lblAlgn val="ctr"/>
        <c:lblOffset val="100"/>
        <c:noMultiLvlLbl val="0"/>
      </c:catAx>
      <c:valAx>
        <c:axId val="1242479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474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Discount</a:t>
            </a:r>
            <a:r>
              <a:rPr lang="en-US" baseline="0"/>
              <a:t> % Vs number of Reviews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46"/>
              <c:pt idx="0">
                <c:v>1%</c:v>
              </c:pt>
              <c:pt idx="1">
                <c:v>2%</c:v>
              </c:pt>
              <c:pt idx="2">
                <c:v>3%</c:v>
              </c:pt>
              <c:pt idx="3">
                <c:v>4%</c:v>
              </c:pt>
              <c:pt idx="4">
                <c:v>8%</c:v>
              </c:pt>
              <c:pt idx="5">
                <c:v>9%</c:v>
              </c:pt>
              <c:pt idx="6">
                <c:v>11%</c:v>
              </c:pt>
              <c:pt idx="7">
                <c:v>13%</c:v>
              </c:pt>
              <c:pt idx="8">
                <c:v>14%</c:v>
              </c:pt>
              <c:pt idx="9">
                <c:v>18%</c:v>
              </c:pt>
              <c:pt idx="10">
                <c:v>19%</c:v>
              </c:pt>
              <c:pt idx="11">
                <c:v>20%</c:v>
              </c:pt>
              <c:pt idx="12">
                <c:v>21%</c:v>
              </c:pt>
              <c:pt idx="13">
                <c:v>22%</c:v>
              </c:pt>
              <c:pt idx="14">
                <c:v>23%</c:v>
              </c:pt>
              <c:pt idx="15">
                <c:v>24%</c:v>
              </c:pt>
              <c:pt idx="16">
                <c:v>25%</c:v>
              </c:pt>
              <c:pt idx="17">
                <c:v>26%</c:v>
              </c:pt>
              <c:pt idx="18">
                <c:v>27%</c:v>
              </c:pt>
              <c:pt idx="19">
                <c:v>29%</c:v>
              </c:pt>
              <c:pt idx="20">
                <c:v>30%</c:v>
              </c:pt>
              <c:pt idx="21">
                <c:v>32%</c:v>
              </c:pt>
              <c:pt idx="22">
                <c:v>33%</c:v>
              </c:pt>
              <c:pt idx="23">
                <c:v>34%</c:v>
              </c:pt>
              <c:pt idx="24">
                <c:v>35%</c:v>
              </c:pt>
              <c:pt idx="25">
                <c:v>36%</c:v>
              </c:pt>
              <c:pt idx="26">
                <c:v>37%</c:v>
              </c:pt>
              <c:pt idx="27">
                <c:v>38%</c:v>
              </c:pt>
              <c:pt idx="28">
                <c:v>39%</c:v>
              </c:pt>
              <c:pt idx="29">
                <c:v>40%</c:v>
              </c:pt>
              <c:pt idx="30">
                <c:v>41%</c:v>
              </c:pt>
              <c:pt idx="31">
                <c:v>42%</c:v>
              </c:pt>
              <c:pt idx="32">
                <c:v>43%</c:v>
              </c:pt>
              <c:pt idx="33">
                <c:v>45%</c:v>
              </c:pt>
              <c:pt idx="34">
                <c:v>46%</c:v>
              </c:pt>
              <c:pt idx="35">
                <c:v>47%</c:v>
              </c:pt>
              <c:pt idx="36">
                <c:v>48%</c:v>
              </c:pt>
              <c:pt idx="37">
                <c:v>49%</c:v>
              </c:pt>
              <c:pt idx="38">
                <c:v>50%</c:v>
              </c:pt>
              <c:pt idx="39">
                <c:v>51%</c:v>
              </c:pt>
              <c:pt idx="40">
                <c:v>52%</c:v>
              </c:pt>
              <c:pt idx="41">
                <c:v>53%</c:v>
              </c:pt>
              <c:pt idx="42">
                <c:v>54%</c:v>
              </c:pt>
              <c:pt idx="43">
                <c:v>55%</c:v>
              </c:pt>
              <c:pt idx="44">
                <c:v>61%</c:v>
              </c:pt>
              <c:pt idx="45">
                <c:v>64%</c:v>
              </c:pt>
            </c:strLit>
          </c:cat>
          <c:val>
            <c:numLit>
              <c:formatCode>General</c:formatCode>
              <c:ptCount val="46"/>
              <c:pt idx="0">
                <c:v>0</c:v>
              </c:pt>
              <c:pt idx="1">
                <c:v>0</c:v>
              </c:pt>
              <c:pt idx="2">
                <c:v>0</c:v>
              </c:pt>
              <c:pt idx="3">
                <c:v>0</c:v>
              </c:pt>
              <c:pt idx="4">
                <c:v>0</c:v>
              </c:pt>
              <c:pt idx="5">
                <c:v>15</c:v>
              </c:pt>
              <c:pt idx="6">
                <c:v>0</c:v>
              </c:pt>
              <c:pt idx="7">
                <c:v>6</c:v>
              </c:pt>
              <c:pt idx="8">
                <c:v>0</c:v>
              </c:pt>
              <c:pt idx="9">
                <c:v>12</c:v>
              </c:pt>
              <c:pt idx="10">
                <c:v>5</c:v>
              </c:pt>
              <c:pt idx="11">
                <c:v>12</c:v>
              </c:pt>
              <c:pt idx="12">
                <c:v>1</c:v>
              </c:pt>
              <c:pt idx="13">
                <c:v>16</c:v>
              </c:pt>
              <c:pt idx="14">
                <c:v>14</c:v>
              </c:pt>
              <c:pt idx="15">
                <c:v>55</c:v>
              </c:pt>
              <c:pt idx="16">
                <c:v>24</c:v>
              </c:pt>
              <c:pt idx="17">
                <c:v>5</c:v>
              </c:pt>
              <c:pt idx="18">
                <c:v>52</c:v>
              </c:pt>
              <c:pt idx="19">
                <c:v>5</c:v>
              </c:pt>
              <c:pt idx="20">
                <c:v>20</c:v>
              </c:pt>
              <c:pt idx="21">
                <c:v>13</c:v>
              </c:pt>
              <c:pt idx="22">
                <c:v>9</c:v>
              </c:pt>
              <c:pt idx="23">
                <c:v>51</c:v>
              </c:pt>
              <c:pt idx="24">
                <c:v>55</c:v>
              </c:pt>
              <c:pt idx="25">
                <c:v>0</c:v>
              </c:pt>
              <c:pt idx="26">
                <c:v>9</c:v>
              </c:pt>
              <c:pt idx="27">
                <c:v>4</c:v>
              </c:pt>
              <c:pt idx="28">
                <c:v>5</c:v>
              </c:pt>
              <c:pt idx="29">
                <c:v>1</c:v>
              </c:pt>
              <c:pt idx="30">
                <c:v>36</c:v>
              </c:pt>
              <c:pt idx="31">
                <c:v>6</c:v>
              </c:pt>
              <c:pt idx="32">
                <c:v>11</c:v>
              </c:pt>
              <c:pt idx="33">
                <c:v>28</c:v>
              </c:pt>
              <c:pt idx="34">
                <c:v>3</c:v>
              </c:pt>
              <c:pt idx="35">
                <c:v>39</c:v>
              </c:pt>
              <c:pt idx="36">
                <c:v>9</c:v>
              </c:pt>
              <c:pt idx="37">
                <c:v>118</c:v>
              </c:pt>
              <c:pt idx="38">
                <c:v>8</c:v>
              </c:pt>
              <c:pt idx="39">
                <c:v>2</c:v>
              </c:pt>
              <c:pt idx="40">
                <c:v>24</c:v>
              </c:pt>
              <c:pt idx="41">
                <c:v>15</c:v>
              </c:pt>
              <c:pt idx="42">
                <c:v>17</c:v>
              </c:pt>
              <c:pt idx="43">
                <c:v>18</c:v>
              </c:pt>
              <c:pt idx="44">
                <c:v>0</c:v>
              </c:pt>
              <c:pt idx="45">
                <c:v>0</c:v>
              </c:pt>
            </c:numLit>
          </c:val>
          <c:extLst>
            <c:ext xmlns:c16="http://schemas.microsoft.com/office/drawing/2014/chart" uri="{C3380CC4-5D6E-409C-BE32-E72D297353CC}">
              <c16:uniqueId val="{00000000-4A86-4203-876A-9DC170DBA888}"/>
            </c:ext>
          </c:extLst>
        </c:ser>
        <c:dLbls>
          <c:showLegendKey val="0"/>
          <c:showVal val="0"/>
          <c:showCatName val="0"/>
          <c:showSerName val="0"/>
          <c:showPercent val="0"/>
          <c:showBubbleSize val="0"/>
        </c:dLbls>
        <c:gapWidth val="219"/>
        <c:overlap val="-27"/>
        <c:axId val="1735115936"/>
        <c:axId val="1735118432"/>
      </c:barChart>
      <c:catAx>
        <c:axId val="1735115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118432"/>
        <c:crosses val="autoZero"/>
        <c:auto val="1"/>
        <c:lblAlgn val="ctr"/>
        <c:lblOffset val="100"/>
        <c:noMultiLvlLbl val="0"/>
      </c:catAx>
      <c:valAx>
        <c:axId val="17351184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115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Rating</a:t>
            </a:r>
            <a:r>
              <a:rPr lang="en-US" baseline="0"/>
              <a:t> Vs No of Reviews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Total</c:v>
          </c:tx>
          <c:spPr>
            <a:ln w="28575" cap="rnd">
              <a:solidFill>
                <a:schemeClr val="accent1"/>
              </a:solidFill>
              <a:round/>
            </a:ln>
            <a:effectLst/>
          </c:spPr>
          <c:marker>
            <c:symbol val="none"/>
          </c:marker>
          <c:cat>
            <c:strLit>
              <c:ptCount val="23"/>
              <c:pt idx="0">
                <c:v>2</c:v>
              </c:pt>
              <c:pt idx="1">
                <c:v>2.1</c:v>
              </c:pt>
              <c:pt idx="2">
                <c:v>2.2</c:v>
              </c:pt>
              <c:pt idx="3">
                <c:v>2.3</c:v>
              </c:pt>
              <c:pt idx="4">
                <c:v>2.5</c:v>
              </c:pt>
              <c:pt idx="5">
                <c:v>2.6</c:v>
              </c:pt>
              <c:pt idx="6">
                <c:v>2.7</c:v>
              </c:pt>
              <c:pt idx="7">
                <c:v>2.8</c:v>
              </c:pt>
              <c:pt idx="8">
                <c:v>2.9</c:v>
              </c:pt>
              <c:pt idx="9">
                <c:v>3</c:v>
              </c:pt>
              <c:pt idx="10">
                <c:v>3.3</c:v>
              </c:pt>
              <c:pt idx="11">
                <c:v>3.8</c:v>
              </c:pt>
              <c:pt idx="12">
                <c:v>4</c:v>
              </c:pt>
              <c:pt idx="13">
                <c:v>4.1</c:v>
              </c:pt>
              <c:pt idx="14">
                <c:v>4.2</c:v>
              </c:pt>
              <c:pt idx="15">
                <c:v>4.3</c:v>
              </c:pt>
              <c:pt idx="16">
                <c:v>4.4</c:v>
              </c:pt>
              <c:pt idx="17">
                <c:v>4.5</c:v>
              </c:pt>
              <c:pt idx="18">
                <c:v>4.6</c:v>
              </c:pt>
              <c:pt idx="19">
                <c:v>4.7</c:v>
              </c:pt>
              <c:pt idx="20">
                <c:v>4.8</c:v>
              </c:pt>
              <c:pt idx="21">
                <c:v>5</c:v>
              </c:pt>
              <c:pt idx="22">
                <c:v>(blank)</c:v>
              </c:pt>
            </c:strLit>
          </c:cat>
          <c:val>
            <c:numLit>
              <c:formatCode>General</c:formatCode>
              <c:ptCount val="23"/>
              <c:pt idx="0">
                <c:v>1</c:v>
              </c:pt>
              <c:pt idx="1">
                <c:v>20</c:v>
              </c:pt>
              <c:pt idx="2">
                <c:v>12</c:v>
              </c:pt>
              <c:pt idx="3">
                <c:v>13</c:v>
              </c:pt>
              <c:pt idx="4">
                <c:v>6</c:v>
              </c:pt>
              <c:pt idx="5">
                <c:v>17</c:v>
              </c:pt>
              <c:pt idx="6">
                <c:v>15</c:v>
              </c:pt>
              <c:pt idx="7">
                <c:v>69</c:v>
              </c:pt>
              <c:pt idx="8">
                <c:v>16</c:v>
              </c:pt>
              <c:pt idx="9">
                <c:v>26</c:v>
              </c:pt>
              <c:pt idx="10">
                <c:v>13</c:v>
              </c:pt>
              <c:pt idx="11">
                <c:v>30</c:v>
              </c:pt>
              <c:pt idx="12">
                <c:v>24</c:v>
              </c:pt>
              <c:pt idx="13">
                <c:v>46</c:v>
              </c:pt>
              <c:pt idx="14">
                <c:v>9</c:v>
              </c:pt>
              <c:pt idx="15">
                <c:v>61</c:v>
              </c:pt>
              <c:pt idx="16">
                <c:v>14</c:v>
              </c:pt>
              <c:pt idx="17">
                <c:v>42</c:v>
              </c:pt>
              <c:pt idx="18">
                <c:v>177</c:v>
              </c:pt>
              <c:pt idx="19">
                <c:v>78</c:v>
              </c:pt>
              <c:pt idx="20">
                <c:v>22</c:v>
              </c:pt>
              <c:pt idx="21">
                <c:v>12</c:v>
              </c:pt>
              <c:pt idx="22">
                <c:v>0</c:v>
              </c:pt>
            </c:numLit>
          </c:val>
          <c:smooth val="0"/>
          <c:extLst>
            <c:ext xmlns:c16="http://schemas.microsoft.com/office/drawing/2014/chart" uri="{C3380CC4-5D6E-409C-BE32-E72D297353CC}">
              <c16:uniqueId val="{00000000-3E74-4775-8E35-3FC4DE4567A8}"/>
            </c:ext>
          </c:extLst>
        </c:ser>
        <c:dLbls>
          <c:showLegendKey val="0"/>
          <c:showVal val="0"/>
          <c:showCatName val="0"/>
          <c:showSerName val="0"/>
          <c:showPercent val="0"/>
          <c:showBubbleSize val="0"/>
        </c:dLbls>
        <c:smooth val="0"/>
        <c:axId val="1671607008"/>
        <c:axId val="1671608256"/>
      </c:lineChart>
      <c:catAx>
        <c:axId val="1671607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1608256"/>
        <c:crosses val="autoZero"/>
        <c:auto val="1"/>
        <c:lblAlgn val="ctr"/>
        <c:lblOffset val="100"/>
        <c:noMultiLvlLbl val="0"/>
      </c:catAx>
      <c:valAx>
        <c:axId val="1671608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16070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4</xdr:col>
      <xdr:colOff>579119</xdr:colOff>
      <xdr:row>0</xdr:row>
      <xdr:rowOff>114300</xdr:rowOff>
    </xdr:from>
    <xdr:to>
      <xdr:col>13</xdr:col>
      <xdr:colOff>79374</xdr:colOff>
      <xdr:row>3</xdr:row>
      <xdr:rowOff>167640</xdr:rowOff>
    </xdr:to>
    <xdr:sp macro="" textlink="">
      <xdr:nvSpPr>
        <xdr:cNvPr id="2" name="Rectangle: Rounded Corners 1">
          <a:extLst>
            <a:ext uri="{FF2B5EF4-FFF2-40B4-BE49-F238E27FC236}">
              <a16:creationId xmlns:a16="http://schemas.microsoft.com/office/drawing/2014/main" id="{AB27E9A1-28EB-4631-89C8-4EA204F28CA3}"/>
            </a:ext>
          </a:extLst>
        </xdr:cNvPr>
        <xdr:cNvSpPr/>
      </xdr:nvSpPr>
      <xdr:spPr>
        <a:xfrm>
          <a:off x="3023869" y="114300"/>
          <a:ext cx="16264255" cy="601028"/>
        </a:xfrm>
        <a:prstGeom prst="roundRect">
          <a:avLst/>
        </a:prstGeom>
        <a:solidFill>
          <a:schemeClr val="accent1">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800"/>
            <a:t>JUMIA PRODUCT SALES DASHBOARD</a:t>
          </a:r>
        </a:p>
      </xdr:txBody>
    </xdr:sp>
    <xdr:clientData/>
  </xdr:twoCellAnchor>
  <xdr:twoCellAnchor>
    <xdr:from>
      <xdr:col>4</xdr:col>
      <xdr:colOff>563880</xdr:colOff>
      <xdr:row>4</xdr:row>
      <xdr:rowOff>68580</xdr:rowOff>
    </xdr:from>
    <xdr:to>
      <xdr:col>5</xdr:col>
      <xdr:colOff>3459480</xdr:colOff>
      <xdr:row>7</xdr:row>
      <xdr:rowOff>121920</xdr:rowOff>
    </xdr:to>
    <xdr:grpSp>
      <xdr:nvGrpSpPr>
        <xdr:cNvPr id="20" name="Group 19">
          <a:extLst>
            <a:ext uri="{FF2B5EF4-FFF2-40B4-BE49-F238E27FC236}">
              <a16:creationId xmlns:a16="http://schemas.microsoft.com/office/drawing/2014/main" id="{C15B4AE0-7E1C-4675-9D00-D56BB3B348D9}"/>
            </a:ext>
          </a:extLst>
        </xdr:cNvPr>
        <xdr:cNvGrpSpPr/>
      </xdr:nvGrpSpPr>
      <xdr:grpSpPr>
        <a:xfrm>
          <a:off x="3021945" y="805999"/>
          <a:ext cx="3510116" cy="606405"/>
          <a:chOff x="487680" y="1120140"/>
          <a:chExt cx="2316480" cy="601980"/>
        </a:xfrm>
        <a:solidFill>
          <a:schemeClr val="accent1">
            <a:lumMod val="75000"/>
          </a:schemeClr>
        </a:solidFill>
      </xdr:grpSpPr>
      <xdr:sp macro="" textlink="Sheet1!B1">
        <xdr:nvSpPr>
          <xdr:cNvPr id="3" name="Rectangle: Rounded Corners 2">
            <a:extLst>
              <a:ext uri="{FF2B5EF4-FFF2-40B4-BE49-F238E27FC236}">
                <a16:creationId xmlns:a16="http://schemas.microsoft.com/office/drawing/2014/main" id="{1D309365-BD8A-411D-9132-3DDD8261BD81}"/>
              </a:ext>
            </a:extLst>
          </xdr:cNvPr>
          <xdr:cNvSpPr/>
        </xdr:nvSpPr>
        <xdr:spPr>
          <a:xfrm>
            <a:off x="487680" y="1120140"/>
            <a:ext cx="2316480" cy="601980"/>
          </a:xfrm>
          <a:prstGeom prst="round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73913533-C41A-446C-B6EE-41BFDCF9D9FE}" type="TxLink">
              <a:rPr lang="en-US" sz="2000" b="0" i="0" u="none" strike="noStrike">
                <a:solidFill>
                  <a:schemeClr val="accent2">
                    <a:lumMod val="60000"/>
                    <a:lumOff val="40000"/>
                  </a:schemeClr>
                </a:solidFill>
                <a:latin typeface="Calibri"/>
                <a:ea typeface="Calibri"/>
                <a:cs typeface="Calibri"/>
              </a:rPr>
              <a:pPr algn="ctr"/>
              <a:t>112</a:t>
            </a:fld>
            <a:endParaRPr lang="en-US" sz="2000">
              <a:solidFill>
                <a:schemeClr val="accent2">
                  <a:lumMod val="60000"/>
                  <a:lumOff val="40000"/>
                </a:schemeClr>
              </a:solidFill>
            </a:endParaRPr>
          </a:p>
        </xdr:txBody>
      </xdr:sp>
      <xdr:sp macro="" textlink="">
        <xdr:nvSpPr>
          <xdr:cNvPr id="7" name="TextBox 6">
            <a:extLst>
              <a:ext uri="{FF2B5EF4-FFF2-40B4-BE49-F238E27FC236}">
                <a16:creationId xmlns:a16="http://schemas.microsoft.com/office/drawing/2014/main" id="{C37D3947-4198-497C-AEDA-3E3DAB143E43}"/>
              </a:ext>
            </a:extLst>
          </xdr:cNvPr>
          <xdr:cNvSpPr txBox="1"/>
        </xdr:nvSpPr>
        <xdr:spPr>
          <a:xfrm>
            <a:off x="784860" y="1127760"/>
            <a:ext cx="1668780" cy="17526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solidFill>
                  <a:schemeClr val="bg1"/>
                </a:solidFill>
              </a:rPr>
              <a:t>Total No Of </a:t>
            </a:r>
            <a:r>
              <a:rPr lang="en-US" sz="1100" b="1">
                <a:solidFill>
                  <a:schemeClr val="bg1"/>
                </a:solidFill>
              </a:rPr>
              <a:t>Products</a:t>
            </a:r>
          </a:p>
        </xdr:txBody>
      </xdr:sp>
    </xdr:grpSp>
    <xdr:clientData/>
  </xdr:twoCellAnchor>
  <xdr:twoCellAnchor>
    <xdr:from>
      <xdr:col>5</xdr:col>
      <xdr:colOff>3657600</xdr:colOff>
      <xdr:row>4</xdr:row>
      <xdr:rowOff>45720</xdr:rowOff>
    </xdr:from>
    <xdr:to>
      <xdr:col>8</xdr:col>
      <xdr:colOff>2179320</xdr:colOff>
      <xdr:row>7</xdr:row>
      <xdr:rowOff>99060</xdr:rowOff>
    </xdr:to>
    <xdr:grpSp>
      <xdr:nvGrpSpPr>
        <xdr:cNvPr id="21" name="Group 20">
          <a:extLst>
            <a:ext uri="{FF2B5EF4-FFF2-40B4-BE49-F238E27FC236}">
              <a16:creationId xmlns:a16="http://schemas.microsoft.com/office/drawing/2014/main" id="{A2B15BB2-4ACF-466D-A474-7C22461D80BF}"/>
            </a:ext>
          </a:extLst>
        </xdr:cNvPr>
        <xdr:cNvGrpSpPr/>
      </xdr:nvGrpSpPr>
      <xdr:grpSpPr>
        <a:xfrm>
          <a:off x="6730181" y="783139"/>
          <a:ext cx="3929462" cy="606405"/>
          <a:chOff x="3779520" y="1120140"/>
          <a:chExt cx="2316480" cy="601980"/>
        </a:xfrm>
        <a:solidFill>
          <a:schemeClr val="accent1">
            <a:lumMod val="75000"/>
          </a:schemeClr>
        </a:solidFill>
      </xdr:grpSpPr>
      <xdr:sp macro="" textlink="Sheet1!B2">
        <xdr:nvSpPr>
          <xdr:cNvPr id="4" name="Rectangle: Rounded Corners 3">
            <a:extLst>
              <a:ext uri="{FF2B5EF4-FFF2-40B4-BE49-F238E27FC236}">
                <a16:creationId xmlns:a16="http://schemas.microsoft.com/office/drawing/2014/main" id="{0D3959F8-BED1-4FAD-842C-80E275B63A76}"/>
              </a:ext>
            </a:extLst>
          </xdr:cNvPr>
          <xdr:cNvSpPr/>
        </xdr:nvSpPr>
        <xdr:spPr>
          <a:xfrm>
            <a:off x="3779520" y="1120140"/>
            <a:ext cx="2316480" cy="601980"/>
          </a:xfrm>
          <a:prstGeom prst="round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6316303C-34F9-441C-A20E-454E0C462DC6}" type="TxLink">
              <a:rPr lang="en-US" sz="1800" b="0" i="0" u="none" strike="noStrike">
                <a:solidFill>
                  <a:schemeClr val="accent2">
                    <a:lumMod val="60000"/>
                    <a:lumOff val="40000"/>
                  </a:schemeClr>
                </a:solidFill>
                <a:latin typeface="Calibri"/>
                <a:ea typeface="Calibri"/>
                <a:cs typeface="Calibri"/>
              </a:rPr>
              <a:pPr algn="ctr"/>
              <a:t>3.89</a:t>
            </a:fld>
            <a:endParaRPr lang="en-US" sz="1800">
              <a:solidFill>
                <a:schemeClr val="accent2">
                  <a:lumMod val="60000"/>
                  <a:lumOff val="40000"/>
                </a:schemeClr>
              </a:solidFill>
            </a:endParaRPr>
          </a:p>
        </xdr:txBody>
      </xdr:sp>
      <xdr:sp macro="" textlink="">
        <xdr:nvSpPr>
          <xdr:cNvPr id="8" name="TextBox 7">
            <a:extLst>
              <a:ext uri="{FF2B5EF4-FFF2-40B4-BE49-F238E27FC236}">
                <a16:creationId xmlns:a16="http://schemas.microsoft.com/office/drawing/2014/main" id="{4DE8DEEA-8F3B-43B4-92FD-9A851932C272}"/>
              </a:ext>
            </a:extLst>
          </xdr:cNvPr>
          <xdr:cNvSpPr txBox="1"/>
        </xdr:nvSpPr>
        <xdr:spPr>
          <a:xfrm>
            <a:off x="4259580" y="1143000"/>
            <a:ext cx="1394460" cy="16764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Average rating</a:t>
            </a:r>
          </a:p>
        </xdr:txBody>
      </xdr:sp>
    </xdr:grpSp>
    <xdr:clientData/>
  </xdr:twoCellAnchor>
  <xdr:twoCellAnchor>
    <xdr:from>
      <xdr:col>8</xdr:col>
      <xdr:colOff>2346960</xdr:colOff>
      <xdr:row>4</xdr:row>
      <xdr:rowOff>38100</xdr:rowOff>
    </xdr:from>
    <xdr:to>
      <xdr:col>11</xdr:col>
      <xdr:colOff>841375</xdr:colOff>
      <xdr:row>7</xdr:row>
      <xdr:rowOff>91440</xdr:rowOff>
    </xdr:to>
    <xdr:grpSp>
      <xdr:nvGrpSpPr>
        <xdr:cNvPr id="22" name="Group 21">
          <a:extLst>
            <a:ext uri="{FF2B5EF4-FFF2-40B4-BE49-F238E27FC236}">
              <a16:creationId xmlns:a16="http://schemas.microsoft.com/office/drawing/2014/main" id="{01B98B44-85CC-4331-89BF-7EE40E72C40E}"/>
            </a:ext>
          </a:extLst>
        </xdr:cNvPr>
        <xdr:cNvGrpSpPr/>
      </xdr:nvGrpSpPr>
      <xdr:grpSpPr>
        <a:xfrm>
          <a:off x="10827283" y="775519"/>
          <a:ext cx="3840705" cy="606405"/>
          <a:chOff x="7284720" y="1120140"/>
          <a:chExt cx="2316480" cy="601980"/>
        </a:xfrm>
        <a:solidFill>
          <a:schemeClr val="accent1">
            <a:lumMod val="75000"/>
          </a:schemeClr>
        </a:solidFill>
      </xdr:grpSpPr>
      <xdr:sp macro="" textlink="Sheet1!B3">
        <xdr:nvSpPr>
          <xdr:cNvPr id="5" name="Rectangle: Rounded Corners 4">
            <a:extLst>
              <a:ext uri="{FF2B5EF4-FFF2-40B4-BE49-F238E27FC236}">
                <a16:creationId xmlns:a16="http://schemas.microsoft.com/office/drawing/2014/main" id="{E5D48436-B2D1-4EAE-85F4-C9A2110BBB6B}"/>
              </a:ext>
            </a:extLst>
          </xdr:cNvPr>
          <xdr:cNvSpPr/>
        </xdr:nvSpPr>
        <xdr:spPr>
          <a:xfrm>
            <a:off x="7284720" y="1120140"/>
            <a:ext cx="2316480" cy="601980"/>
          </a:xfrm>
          <a:prstGeom prst="round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AE6D4F8D-ADF7-419A-9413-38CD73B036BF}" type="TxLink">
              <a:rPr lang="en-US" sz="2000" b="0" i="0" u="none" strike="noStrike">
                <a:solidFill>
                  <a:schemeClr val="accent2">
                    <a:lumMod val="60000"/>
                    <a:lumOff val="40000"/>
                  </a:schemeClr>
                </a:solidFill>
                <a:latin typeface="Calibri"/>
                <a:ea typeface="Calibri"/>
                <a:cs typeface="Calibri"/>
              </a:rPr>
              <a:pPr algn="ctr"/>
              <a:t>37%</a:t>
            </a:fld>
            <a:endParaRPr lang="en-US" sz="2000">
              <a:solidFill>
                <a:schemeClr val="accent2">
                  <a:lumMod val="60000"/>
                  <a:lumOff val="40000"/>
                </a:schemeClr>
              </a:solidFill>
            </a:endParaRPr>
          </a:p>
        </xdr:txBody>
      </xdr:sp>
      <xdr:sp macro="" textlink="">
        <xdr:nvSpPr>
          <xdr:cNvPr id="9" name="TextBox 8">
            <a:extLst>
              <a:ext uri="{FF2B5EF4-FFF2-40B4-BE49-F238E27FC236}">
                <a16:creationId xmlns:a16="http://schemas.microsoft.com/office/drawing/2014/main" id="{A70B32D3-9B48-43E2-8AF0-653D30CAE19C}"/>
              </a:ext>
            </a:extLst>
          </xdr:cNvPr>
          <xdr:cNvSpPr txBox="1"/>
        </xdr:nvSpPr>
        <xdr:spPr>
          <a:xfrm>
            <a:off x="7553676" y="1120140"/>
            <a:ext cx="1642231" cy="192392"/>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t>      </a:t>
            </a:r>
            <a:r>
              <a:rPr lang="en-US" sz="1100" b="1">
                <a:solidFill>
                  <a:schemeClr val="bg1"/>
                </a:solidFill>
              </a:rPr>
              <a:t>Average Discount</a:t>
            </a:r>
          </a:p>
        </xdr:txBody>
      </xdr:sp>
    </xdr:grpSp>
    <xdr:clientData/>
  </xdr:twoCellAnchor>
  <xdr:twoCellAnchor>
    <xdr:from>
      <xdr:col>11</xdr:col>
      <xdr:colOff>960120</xdr:colOff>
      <xdr:row>4</xdr:row>
      <xdr:rowOff>53340</xdr:rowOff>
    </xdr:from>
    <xdr:to>
      <xdr:col>13</xdr:col>
      <xdr:colOff>79375</xdr:colOff>
      <xdr:row>7</xdr:row>
      <xdr:rowOff>106680</xdr:rowOff>
    </xdr:to>
    <xdr:grpSp>
      <xdr:nvGrpSpPr>
        <xdr:cNvPr id="23" name="Group 22">
          <a:extLst>
            <a:ext uri="{FF2B5EF4-FFF2-40B4-BE49-F238E27FC236}">
              <a16:creationId xmlns:a16="http://schemas.microsoft.com/office/drawing/2014/main" id="{F0B57B4F-0C80-4CFC-A789-B8D3769179F4}"/>
            </a:ext>
          </a:extLst>
        </xdr:cNvPr>
        <xdr:cNvGrpSpPr/>
      </xdr:nvGrpSpPr>
      <xdr:grpSpPr>
        <a:xfrm>
          <a:off x="14786733" y="790759"/>
          <a:ext cx="4514707" cy="606405"/>
          <a:chOff x="11033760" y="1104900"/>
          <a:chExt cx="2316480" cy="601980"/>
        </a:xfrm>
        <a:solidFill>
          <a:schemeClr val="accent1">
            <a:lumMod val="75000"/>
          </a:schemeClr>
        </a:solidFill>
      </xdr:grpSpPr>
      <xdr:sp macro="" textlink="Sheet1!B4">
        <xdr:nvSpPr>
          <xdr:cNvPr id="6" name="Rectangle: Rounded Corners 5">
            <a:extLst>
              <a:ext uri="{FF2B5EF4-FFF2-40B4-BE49-F238E27FC236}">
                <a16:creationId xmlns:a16="http://schemas.microsoft.com/office/drawing/2014/main" id="{D638926A-60A2-44E2-8599-D87008497BD6}"/>
              </a:ext>
            </a:extLst>
          </xdr:cNvPr>
          <xdr:cNvSpPr/>
        </xdr:nvSpPr>
        <xdr:spPr>
          <a:xfrm>
            <a:off x="11033760" y="1104900"/>
            <a:ext cx="2316480" cy="601980"/>
          </a:xfrm>
          <a:prstGeom prst="roundRect">
            <a:avLst/>
          </a:prstGeom>
          <a:gr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D9DFDDCE-23EF-4994-A07E-823C26636341}" type="TxLink">
              <a:rPr lang="en-US" sz="2000" b="0" i="0" u="none" strike="noStrike">
                <a:solidFill>
                  <a:schemeClr val="accent2">
                    <a:lumMod val="60000"/>
                    <a:lumOff val="40000"/>
                  </a:schemeClr>
                </a:solidFill>
                <a:latin typeface="Calibri"/>
                <a:ea typeface="Calibri"/>
                <a:cs typeface="Calibri"/>
              </a:rPr>
              <a:pPr algn="ctr"/>
              <a:t>723</a:t>
            </a:fld>
            <a:endParaRPr lang="en-US" sz="2000">
              <a:solidFill>
                <a:schemeClr val="accent2">
                  <a:lumMod val="60000"/>
                  <a:lumOff val="40000"/>
                </a:schemeClr>
              </a:solidFill>
            </a:endParaRPr>
          </a:p>
        </xdr:txBody>
      </xdr:sp>
      <xdr:sp macro="" textlink="">
        <xdr:nvSpPr>
          <xdr:cNvPr id="10" name="TextBox 9">
            <a:extLst>
              <a:ext uri="{FF2B5EF4-FFF2-40B4-BE49-F238E27FC236}">
                <a16:creationId xmlns:a16="http://schemas.microsoft.com/office/drawing/2014/main" id="{CC0DB0AE-0F54-46E3-AECD-561821117F87}"/>
              </a:ext>
            </a:extLst>
          </xdr:cNvPr>
          <xdr:cNvSpPr txBox="1"/>
        </xdr:nvSpPr>
        <xdr:spPr>
          <a:xfrm>
            <a:off x="11445240" y="1150620"/>
            <a:ext cx="1676400" cy="17526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a:solidFill>
                  <a:schemeClr val="bg1"/>
                </a:solidFill>
              </a:rPr>
              <a:t>Total No Of Reviews</a:t>
            </a:r>
          </a:p>
        </xdr:txBody>
      </xdr:sp>
    </xdr:grpSp>
    <xdr:clientData/>
  </xdr:twoCellAnchor>
  <xdr:twoCellAnchor editAs="oneCell">
    <xdr:from>
      <xdr:col>0</xdr:col>
      <xdr:colOff>15241</xdr:colOff>
      <xdr:row>9</xdr:row>
      <xdr:rowOff>68580</xdr:rowOff>
    </xdr:from>
    <xdr:to>
      <xdr:col>3</xdr:col>
      <xdr:colOff>465118</xdr:colOff>
      <xdr:row>18</xdr:row>
      <xdr:rowOff>59376</xdr:rowOff>
    </xdr:to>
    <mc:AlternateContent xmlns:mc="http://schemas.openxmlformats.org/markup-compatibility/2006" xmlns:a14="http://schemas.microsoft.com/office/drawing/2010/main">
      <mc:Choice Requires="a14">
        <xdr:graphicFrame macro="">
          <xdr:nvGraphicFramePr>
            <xdr:cNvPr id="12" name="Product 1">
              <a:extLst>
                <a:ext uri="{FF2B5EF4-FFF2-40B4-BE49-F238E27FC236}">
                  <a16:creationId xmlns:a16="http://schemas.microsoft.com/office/drawing/2014/main" id="{376EE89F-EE8B-4975-813C-02E3B781240C}"/>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15240" y="1671749"/>
              <a:ext cx="2343595" cy="45116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601980</xdr:colOff>
      <xdr:row>19</xdr:row>
      <xdr:rowOff>30481</xdr:rowOff>
    </xdr:from>
    <xdr:to>
      <xdr:col>6</xdr:col>
      <xdr:colOff>396240</xdr:colOff>
      <xdr:row>34</xdr:row>
      <xdr:rowOff>147484</xdr:rowOff>
    </xdr:to>
    <xdr:graphicFrame macro="">
      <xdr:nvGraphicFramePr>
        <xdr:cNvPr id="24" name="Chart 23">
          <a:extLst>
            <a:ext uri="{FF2B5EF4-FFF2-40B4-BE49-F238E27FC236}">
              <a16:creationId xmlns:a16="http://schemas.microsoft.com/office/drawing/2014/main" id="{B73B8336-2479-4A2E-B74C-C4D91BE2C5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556260</xdr:colOff>
      <xdr:row>19</xdr:row>
      <xdr:rowOff>15240</xdr:rowOff>
    </xdr:from>
    <xdr:to>
      <xdr:col>10</xdr:col>
      <xdr:colOff>38100</xdr:colOff>
      <xdr:row>34</xdr:row>
      <xdr:rowOff>135193</xdr:rowOff>
    </xdr:to>
    <xdr:graphicFrame macro="">
      <xdr:nvGraphicFramePr>
        <xdr:cNvPr id="25" name="Chart 24">
          <a:extLst>
            <a:ext uri="{FF2B5EF4-FFF2-40B4-BE49-F238E27FC236}">
              <a16:creationId xmlns:a16="http://schemas.microsoft.com/office/drawing/2014/main" id="{9AF5ABAA-13BE-42AF-8F9B-3F771F40B0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29688</xdr:colOff>
      <xdr:row>0</xdr:row>
      <xdr:rowOff>9896</xdr:rowOff>
    </xdr:from>
    <xdr:to>
      <xdr:col>3</xdr:col>
      <xdr:colOff>479323</xdr:colOff>
      <xdr:row>9</xdr:row>
      <xdr:rowOff>69273</xdr:rowOff>
    </xdr:to>
    <xdr:sp macro="" textlink="">
      <xdr:nvSpPr>
        <xdr:cNvPr id="29" name="TextBox 28">
          <a:extLst>
            <a:ext uri="{FF2B5EF4-FFF2-40B4-BE49-F238E27FC236}">
              <a16:creationId xmlns:a16="http://schemas.microsoft.com/office/drawing/2014/main" id="{1970DA7A-D3FF-4E5B-BB0F-985EDA2A6BDE}"/>
            </a:ext>
          </a:extLst>
        </xdr:cNvPr>
        <xdr:cNvSpPr txBox="1"/>
      </xdr:nvSpPr>
      <xdr:spPr>
        <a:xfrm>
          <a:off x="29688" y="9896"/>
          <a:ext cx="2293183" cy="1718571"/>
        </a:xfrm>
        <a:prstGeom prst="rect">
          <a:avLst/>
        </a:prstGeom>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800" i="1">
              <a:solidFill>
                <a:schemeClr val="bg1"/>
              </a:solidFill>
            </a:rPr>
            <a:t>SLICERS</a:t>
          </a:r>
        </a:p>
      </xdr:txBody>
    </xdr:sp>
    <xdr:clientData/>
  </xdr:twoCellAnchor>
  <xdr:twoCellAnchor>
    <xdr:from>
      <xdr:col>11</xdr:col>
      <xdr:colOff>22860</xdr:colOff>
      <xdr:row>19</xdr:row>
      <xdr:rowOff>60960</xdr:rowOff>
    </xdr:from>
    <xdr:to>
      <xdr:col>13</xdr:col>
      <xdr:colOff>53340</xdr:colOff>
      <xdr:row>34</xdr:row>
      <xdr:rowOff>122903</xdr:rowOff>
    </xdr:to>
    <xdr:graphicFrame macro="">
      <xdr:nvGraphicFramePr>
        <xdr:cNvPr id="30" name="Chart 29">
          <a:extLst>
            <a:ext uri="{FF2B5EF4-FFF2-40B4-BE49-F238E27FC236}">
              <a16:creationId xmlns:a16="http://schemas.microsoft.com/office/drawing/2014/main" id="{C1836850-4FC8-40F4-BA0B-B59FABA2BA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18</xdr:row>
      <xdr:rowOff>132113</xdr:rowOff>
    </xdr:from>
    <xdr:to>
      <xdr:col>3</xdr:col>
      <xdr:colOff>484909</xdr:colOff>
      <xdr:row>25</xdr:row>
      <xdr:rowOff>138546</xdr:rowOff>
    </xdr:to>
    <mc:AlternateContent xmlns:mc="http://schemas.openxmlformats.org/markup-compatibility/2006" xmlns:a14="http://schemas.microsoft.com/office/drawing/2010/main">
      <mc:Choice Requires="a14">
        <xdr:graphicFrame macro="">
          <xdr:nvGraphicFramePr>
            <xdr:cNvPr id="11" name="Rating category">
              <a:extLst>
                <a:ext uri="{FF2B5EF4-FFF2-40B4-BE49-F238E27FC236}">
                  <a16:creationId xmlns:a16="http://schemas.microsoft.com/office/drawing/2014/main" id="{C8B059DC-F269-455B-A9DA-BE967288A99B}"/>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mlns="">
        <xdr:sp macro="" textlink="">
          <xdr:nvSpPr>
            <xdr:cNvPr id="0" name=""/>
            <xdr:cNvSpPr>
              <a:spLocks noTextEdit="1"/>
            </xdr:cNvSpPr>
          </xdr:nvSpPr>
          <xdr:spPr>
            <a:xfrm>
              <a:off x="0" y="3338451"/>
              <a:ext cx="2325584" cy="12533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26</xdr:row>
      <xdr:rowOff>0</xdr:rowOff>
    </xdr:from>
    <xdr:to>
      <xdr:col>3</xdr:col>
      <xdr:colOff>494805</xdr:colOff>
      <xdr:row>35</xdr:row>
      <xdr:rowOff>12291</xdr:rowOff>
    </xdr:to>
    <mc:AlternateContent xmlns:mc="http://schemas.openxmlformats.org/markup-compatibility/2006" xmlns:a14="http://schemas.microsoft.com/office/drawing/2010/main">
      <mc:Choice Requires="a14">
        <xdr:graphicFrame macro="">
          <xdr:nvGraphicFramePr>
            <xdr:cNvPr id="13" name="Discount category">
              <a:extLst>
                <a:ext uri="{FF2B5EF4-FFF2-40B4-BE49-F238E27FC236}">
                  <a16:creationId xmlns:a16="http://schemas.microsoft.com/office/drawing/2014/main" id="{908F7BC8-5213-45D1-9A0C-2933214BCF44}"/>
                </a:ext>
              </a:extLst>
            </xdr:cNvPr>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mlns="">
        <xdr:sp macro="" textlink="">
          <xdr:nvSpPr>
            <xdr:cNvPr id="0" name=""/>
            <xdr:cNvSpPr>
              <a:spLocks noTextEdit="1"/>
            </xdr:cNvSpPr>
          </xdr:nvSpPr>
          <xdr:spPr>
            <a:xfrm>
              <a:off x="0" y="4631377"/>
              <a:ext cx="2335480" cy="15536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4312920</xdr:colOff>
      <xdr:row>6</xdr:row>
      <xdr:rowOff>133350</xdr:rowOff>
    </xdr:from>
    <xdr:to>
      <xdr:col>6</xdr:col>
      <xdr:colOff>403860</xdr:colOff>
      <xdr:row>21</xdr:row>
      <xdr:rowOff>133350</xdr:rowOff>
    </xdr:to>
    <xdr:graphicFrame macro="">
      <xdr:nvGraphicFramePr>
        <xdr:cNvPr id="2" name="Chart 1">
          <a:extLst>
            <a:ext uri="{FF2B5EF4-FFF2-40B4-BE49-F238E27FC236}">
              <a16:creationId xmlns:a16="http://schemas.microsoft.com/office/drawing/2014/main" id="{56B8E7B1-1C54-4E9B-8E3B-96B73FD043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4511040</xdr:colOff>
      <xdr:row>6</xdr:row>
      <xdr:rowOff>38100</xdr:rowOff>
    </xdr:from>
    <xdr:to>
      <xdr:col>1</xdr:col>
      <xdr:colOff>312420</xdr:colOff>
      <xdr:row>19</xdr:row>
      <xdr:rowOff>127635</xdr:rowOff>
    </xdr:to>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9086096D-958D-4FB9-8F27-A48DF1E7033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4511040" y="11353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53340</xdr:colOff>
      <xdr:row>8</xdr:row>
      <xdr:rowOff>152400</xdr:rowOff>
    </xdr:from>
    <xdr:to>
      <xdr:col>3</xdr:col>
      <xdr:colOff>396240</xdr:colOff>
      <xdr:row>22</xdr:row>
      <xdr:rowOff>59055</xdr:rowOff>
    </xdr:to>
    <mc:AlternateContent xmlns:mc="http://schemas.openxmlformats.org/markup-compatibility/2006" xmlns:a14="http://schemas.microsoft.com/office/drawing/2010/main">
      <mc:Choice Requires="a14">
        <xdr:graphicFrame macro="">
          <xdr:nvGraphicFramePr>
            <xdr:cNvPr id="4" name="Rating">
              <a:extLst>
                <a:ext uri="{FF2B5EF4-FFF2-40B4-BE49-F238E27FC236}">
                  <a16:creationId xmlns:a16="http://schemas.microsoft.com/office/drawing/2014/main" id="{1AC08587-D128-4692-9DC5-218CD2A3333A}"/>
                </a:ext>
              </a:extLst>
            </xdr:cNvPr>
            <xdr:cNvGraphicFramePr/>
          </xdr:nvGraphicFramePr>
          <xdr:xfrm>
            <a:off x="0" y="0"/>
            <a:ext cx="0" cy="0"/>
          </xdr:xfrm>
          <a:graphic>
            <a:graphicData uri="http://schemas.microsoft.com/office/drawing/2010/slicer">
              <sle:slicer xmlns:sle="http://schemas.microsoft.com/office/drawing/2010/slicer" name="Rating"/>
            </a:graphicData>
          </a:graphic>
        </xdr:graphicFrame>
      </mc:Choice>
      <mc:Fallback xmlns="">
        <xdr:sp macro="" textlink="">
          <xdr:nvSpPr>
            <xdr:cNvPr id="0" name=""/>
            <xdr:cNvSpPr>
              <a:spLocks noTextEdit="1"/>
            </xdr:cNvSpPr>
          </xdr:nvSpPr>
          <xdr:spPr>
            <a:xfrm>
              <a:off x="6080760" y="16154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121920</xdr:colOff>
      <xdr:row>30</xdr:row>
      <xdr:rowOff>140970</xdr:rowOff>
    </xdr:from>
    <xdr:to>
      <xdr:col>11</xdr:col>
      <xdr:colOff>426720</xdr:colOff>
      <xdr:row>45</xdr:row>
      <xdr:rowOff>140970</xdr:rowOff>
    </xdr:to>
    <xdr:graphicFrame macro="">
      <xdr:nvGraphicFramePr>
        <xdr:cNvPr id="2" name="Chart 1">
          <a:extLst>
            <a:ext uri="{FF2B5EF4-FFF2-40B4-BE49-F238E27FC236}">
              <a16:creationId xmlns:a16="http://schemas.microsoft.com/office/drawing/2014/main" id="{42D7E0D3-48D3-4B94-ABD7-4982939231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480060</xdr:colOff>
      <xdr:row>6</xdr:row>
      <xdr:rowOff>140970</xdr:rowOff>
    </xdr:from>
    <xdr:to>
      <xdr:col>11</xdr:col>
      <xdr:colOff>175260</xdr:colOff>
      <xdr:row>21</xdr:row>
      <xdr:rowOff>140970</xdr:rowOff>
    </xdr:to>
    <xdr:graphicFrame macro="">
      <xdr:nvGraphicFramePr>
        <xdr:cNvPr id="2" name="Chart 1">
          <a:extLst>
            <a:ext uri="{FF2B5EF4-FFF2-40B4-BE49-F238E27FC236}">
              <a16:creationId xmlns:a16="http://schemas.microsoft.com/office/drawing/2014/main" id="{09567682-2278-4861-A784-95278FF8B6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495300</xdr:colOff>
      <xdr:row>6</xdr:row>
      <xdr:rowOff>140970</xdr:rowOff>
    </xdr:from>
    <xdr:to>
      <xdr:col>10</xdr:col>
      <xdr:colOff>411480</xdr:colOff>
      <xdr:row>21</xdr:row>
      <xdr:rowOff>140970</xdr:rowOff>
    </xdr:to>
    <xdr:graphicFrame macro="">
      <xdr:nvGraphicFramePr>
        <xdr:cNvPr id="2" name="Chart 1">
          <a:extLst>
            <a:ext uri="{FF2B5EF4-FFF2-40B4-BE49-F238E27FC236}">
              <a16:creationId xmlns:a16="http://schemas.microsoft.com/office/drawing/2014/main" id="{90DA2DCE-EA57-4138-8116-24E46F7682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15240</xdr:colOff>
      <xdr:row>6</xdr:row>
      <xdr:rowOff>140970</xdr:rowOff>
    </xdr:from>
    <xdr:to>
      <xdr:col>10</xdr:col>
      <xdr:colOff>68580</xdr:colOff>
      <xdr:row>21</xdr:row>
      <xdr:rowOff>140970</xdr:rowOff>
    </xdr:to>
    <xdr:graphicFrame macro="">
      <xdr:nvGraphicFramePr>
        <xdr:cNvPr id="2" name="Chart 1">
          <a:extLst>
            <a:ext uri="{FF2B5EF4-FFF2-40B4-BE49-F238E27FC236}">
              <a16:creationId xmlns:a16="http://schemas.microsoft.com/office/drawing/2014/main" id="{AEBCAD0A-4810-450F-9EC9-3BB0D3887A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7619</xdr:colOff>
      <xdr:row>15</xdr:row>
      <xdr:rowOff>53340</xdr:rowOff>
    </xdr:from>
    <xdr:to>
      <xdr:col>21</xdr:col>
      <xdr:colOff>53338</xdr:colOff>
      <xdr:row>30</xdr:row>
      <xdr:rowOff>0</xdr:rowOff>
    </xdr:to>
    <xdr:graphicFrame macro="">
      <xdr:nvGraphicFramePr>
        <xdr:cNvPr id="3" name="Chart 2">
          <a:extLst>
            <a:ext uri="{FF2B5EF4-FFF2-40B4-BE49-F238E27FC236}">
              <a16:creationId xmlns:a16="http://schemas.microsoft.com/office/drawing/2014/main" id="{FC6BEA83-45F1-45AF-BAA2-9015B9892C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xdr:row>
      <xdr:rowOff>0</xdr:rowOff>
    </xdr:from>
    <xdr:to>
      <xdr:col>7</xdr:col>
      <xdr:colOff>304800</xdr:colOff>
      <xdr:row>16</xdr:row>
      <xdr:rowOff>0</xdr:rowOff>
    </xdr:to>
    <xdr:graphicFrame macro="">
      <xdr:nvGraphicFramePr>
        <xdr:cNvPr id="2" name="Chart 1">
          <a:extLst>
            <a:ext uri="{FF2B5EF4-FFF2-40B4-BE49-F238E27FC236}">
              <a16:creationId xmlns:a16="http://schemas.microsoft.com/office/drawing/2014/main" id="{A39B335E-74E9-4569-9B2D-D634F28351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182880</xdr:colOff>
      <xdr:row>0</xdr:row>
      <xdr:rowOff>167640</xdr:rowOff>
    </xdr:from>
    <xdr:to>
      <xdr:col>15</xdr:col>
      <xdr:colOff>487680</xdr:colOff>
      <xdr:row>15</xdr:row>
      <xdr:rowOff>167640</xdr:rowOff>
    </xdr:to>
    <xdr:graphicFrame macro="">
      <xdr:nvGraphicFramePr>
        <xdr:cNvPr id="3" name="Chart 2">
          <a:extLst>
            <a:ext uri="{FF2B5EF4-FFF2-40B4-BE49-F238E27FC236}">
              <a16:creationId xmlns:a16="http://schemas.microsoft.com/office/drawing/2014/main" id="{91F2B9D5-FD56-47B2-A196-AEAF228127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llins Ochola" refreshedDate="46108.740931018518" createdVersion="7" refreshedVersion="7" minRefreshableVersion="3" recordCount="112" xr:uid="{140782C7-7B65-490D-89D2-D5DE3338EF5E}">
  <cacheSource type="worksheet">
    <worksheetSource ref="A1:I113" sheet="Excel_jumia"/>
  </cacheSource>
  <cacheFields count="9">
    <cacheField name="Product" numFmtId="0">
      <sharedItems count="109">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Balloon Insert, Birthday Party Balloon Set, PU Leath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sharedItems>
    </cacheField>
    <cacheField name="Current price" numFmtId="0">
      <sharedItems containsSemiMixedTypes="0" containsString="0" containsNumber="1" containsInteger="1" minValue="38" maxValue="3750"/>
    </cacheField>
    <cacheField name="old price" numFmtId="0">
      <sharedItems containsSemiMixedTypes="0" containsString="0" containsNumber="1" containsInteger="1" minValue="80" maxValue="6143"/>
    </cacheField>
    <cacheField name="Discount Amount" numFmtId="3">
      <sharedItems containsSemiMixedTypes="0" containsString="0" containsNumber="1" containsInteger="1" minValue="24" maxValue="2585"/>
    </cacheField>
    <cacheField name="Discount" numFmtId="9">
      <sharedItems containsSemiMixedTypes="0" containsString="0" containsNumber="1" minValue="0.01" maxValue="0.64" count="46">
        <n v="0.38"/>
        <n v="0.47"/>
        <n v="0.25"/>
        <n v="0.37"/>
        <n v="0.26"/>
        <n v="0.09"/>
        <n v="0.24"/>
        <n v="0.55000000000000004"/>
        <n v="0.45"/>
        <n v="0.2"/>
        <n v="0.34"/>
        <n v="0.42"/>
        <n v="0.33"/>
        <n v="0.51"/>
        <n v="0.46"/>
        <n v="0.49"/>
        <n v="0.19"/>
        <n v="0.53"/>
        <n v="0.35"/>
        <n v="0.23"/>
        <n v="0.54"/>
        <n v="0.18"/>
        <n v="0.32"/>
        <n v="0.3"/>
        <n v="0.52"/>
        <n v="0.48"/>
        <n v="0.27"/>
        <n v="0.4"/>
        <n v="0.41"/>
        <n v="0.5"/>
        <n v="0.02"/>
        <n v="0.61"/>
        <n v="0.22"/>
        <n v="0.03"/>
        <n v="0.13"/>
        <n v="0.39"/>
        <n v="0.28999999999999998"/>
        <n v="0.43"/>
        <n v="0.04"/>
        <n v="0.36"/>
        <n v="0.14000000000000001"/>
        <n v="0.11"/>
        <n v="0.08"/>
        <n v="0.21"/>
        <n v="0.01"/>
        <n v="0.64"/>
      </sharedItems>
    </cacheField>
    <cacheField name="Review" numFmtId="0">
      <sharedItems containsString="0" containsBlank="1" containsNumber="1" containsInteger="1" minValue="1" maxValue="69" count="24">
        <n v="2"/>
        <n v="14"/>
        <n v="24"/>
        <n v="7"/>
        <n v="5"/>
        <n v="15"/>
        <n v="55"/>
        <n v="12"/>
        <n v="39"/>
        <n v="6"/>
        <n v="9"/>
        <n v="3"/>
        <n v="44"/>
        <n v="13"/>
        <m/>
        <n v="49"/>
        <n v="20"/>
        <n v="32"/>
        <n v="1"/>
        <n v="36"/>
        <n v="10"/>
        <n v="69"/>
        <n v="16"/>
        <n v="17"/>
      </sharedItems>
    </cacheField>
    <cacheField name="Rating" numFmtId="0">
      <sharedItems containsString="0" containsBlank="1" containsNumber="1" minValue="2" maxValue="5" count="23">
        <n v="4.5"/>
        <n v="4.0999999999999996"/>
        <n v="4.5999999999999996"/>
        <n v="4.7"/>
        <n v="4.8"/>
        <n v="4"/>
        <n v="3.8"/>
        <n v="4.2"/>
        <n v="5"/>
        <n v="3.3"/>
        <m/>
        <n v="4.4000000000000004"/>
        <n v="4.3"/>
        <n v="2.5"/>
        <n v="3"/>
        <n v="2.1"/>
        <n v="2.8"/>
        <n v="2.7"/>
        <n v="2.9"/>
        <n v="2.2000000000000002"/>
        <n v="2.2999999999999998"/>
        <n v="2.6"/>
        <n v="2"/>
      </sharedItems>
    </cacheField>
    <cacheField name="Rating category" numFmtId="0">
      <sharedItems count="4">
        <s v="Excellent Rating"/>
        <s v="Average Rating"/>
        <s v="Unknown"/>
        <s v="Poor rating"/>
      </sharedItems>
    </cacheField>
    <cacheField name="Discount category" numFmtId="0">
      <sharedItems count="3">
        <s v="Medium Discount"/>
        <s v="High Discount"/>
        <s v="Low Discount"/>
      </sharedItems>
    </cacheField>
  </cacheFields>
  <extLst>
    <ext xmlns:x14="http://schemas.microsoft.com/office/spreadsheetml/2009/9/main" uri="{725AE2AE-9491-48be-B2B4-4EB974FC3084}">
      <x14:pivotCacheDefinition pivotCacheId="63805661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2">
  <r>
    <x v="0"/>
    <n v="950"/>
    <n v="1525"/>
    <n v="575"/>
    <x v="0"/>
    <x v="0"/>
    <x v="0"/>
    <x v="0"/>
    <x v="0"/>
  </r>
  <r>
    <x v="1"/>
    <n v="527"/>
    <n v="999"/>
    <n v="472"/>
    <x v="1"/>
    <x v="1"/>
    <x v="1"/>
    <x v="1"/>
    <x v="1"/>
  </r>
  <r>
    <x v="2"/>
    <n v="2199"/>
    <n v="2923"/>
    <n v="724"/>
    <x v="2"/>
    <x v="2"/>
    <x v="2"/>
    <x v="0"/>
    <x v="0"/>
  </r>
  <r>
    <x v="3"/>
    <n v="1580"/>
    <n v="2499"/>
    <n v="919"/>
    <x v="3"/>
    <x v="3"/>
    <x v="3"/>
    <x v="0"/>
    <x v="0"/>
  </r>
  <r>
    <x v="4"/>
    <n v="1740"/>
    <n v="2356"/>
    <n v="616"/>
    <x v="4"/>
    <x v="4"/>
    <x v="4"/>
    <x v="0"/>
    <x v="0"/>
  </r>
  <r>
    <x v="5"/>
    <n v="2999"/>
    <n v="3290"/>
    <n v="291"/>
    <x v="5"/>
    <x v="5"/>
    <x v="5"/>
    <x v="1"/>
    <x v="2"/>
  </r>
  <r>
    <x v="6"/>
    <n v="2319"/>
    <n v="3032"/>
    <n v="713"/>
    <x v="6"/>
    <x v="6"/>
    <x v="2"/>
    <x v="0"/>
    <x v="0"/>
  </r>
  <r>
    <x v="7"/>
    <n v="988"/>
    <n v="1580"/>
    <n v="592"/>
    <x v="3"/>
    <x v="0"/>
    <x v="5"/>
    <x v="1"/>
    <x v="0"/>
  </r>
  <r>
    <x v="8"/>
    <n v="1274"/>
    <n v="2800"/>
    <n v="1526"/>
    <x v="7"/>
    <x v="4"/>
    <x v="4"/>
    <x v="0"/>
    <x v="1"/>
  </r>
  <r>
    <x v="9"/>
    <n v="1600"/>
    <n v="2929"/>
    <n v="1329"/>
    <x v="8"/>
    <x v="4"/>
    <x v="6"/>
    <x v="1"/>
    <x v="1"/>
  </r>
  <r>
    <x v="10"/>
    <n v="799"/>
    <n v="999"/>
    <n v="200"/>
    <x v="9"/>
    <x v="7"/>
    <x v="1"/>
    <x v="1"/>
    <x v="0"/>
  </r>
  <r>
    <x v="11"/>
    <n v="990"/>
    <n v="1500"/>
    <n v="510"/>
    <x v="10"/>
    <x v="8"/>
    <x v="3"/>
    <x v="0"/>
    <x v="0"/>
  </r>
  <r>
    <x v="12"/>
    <n v="552"/>
    <n v="1035"/>
    <n v="483"/>
    <x v="1"/>
    <x v="7"/>
    <x v="4"/>
    <x v="0"/>
    <x v="1"/>
  </r>
  <r>
    <x v="13"/>
    <n v="501"/>
    <n v="860"/>
    <n v="359"/>
    <x v="11"/>
    <x v="9"/>
    <x v="0"/>
    <x v="0"/>
    <x v="1"/>
  </r>
  <r>
    <x v="14"/>
    <n v="1680"/>
    <n v="2499"/>
    <n v="819"/>
    <x v="12"/>
    <x v="10"/>
    <x v="7"/>
    <x v="1"/>
    <x v="0"/>
  </r>
  <r>
    <x v="15"/>
    <n v="332"/>
    <n v="684"/>
    <n v="352"/>
    <x v="13"/>
    <x v="0"/>
    <x v="8"/>
    <x v="0"/>
    <x v="1"/>
  </r>
  <r>
    <x v="16"/>
    <n v="195"/>
    <n v="360"/>
    <n v="165"/>
    <x v="14"/>
    <x v="0"/>
    <x v="8"/>
    <x v="0"/>
    <x v="1"/>
  </r>
  <r>
    <x v="17"/>
    <n v="2025"/>
    <n v="3971"/>
    <n v="1946"/>
    <x v="15"/>
    <x v="11"/>
    <x v="8"/>
    <x v="0"/>
    <x v="1"/>
  </r>
  <r>
    <x v="18"/>
    <n v="2999"/>
    <n v="3699"/>
    <n v="700"/>
    <x v="16"/>
    <x v="4"/>
    <x v="2"/>
    <x v="0"/>
    <x v="2"/>
  </r>
  <r>
    <x v="19"/>
    <n v="998"/>
    <n v="1966"/>
    <n v="968"/>
    <x v="15"/>
    <x v="12"/>
    <x v="2"/>
    <x v="0"/>
    <x v="1"/>
  </r>
  <r>
    <x v="20"/>
    <n v="38"/>
    <n v="80"/>
    <n v="42"/>
    <x v="17"/>
    <x v="13"/>
    <x v="9"/>
    <x v="1"/>
    <x v="1"/>
  </r>
  <r>
    <x v="21"/>
    <n v="1860"/>
    <n v="3220"/>
    <n v="1360"/>
    <x v="11"/>
    <x v="14"/>
    <x v="10"/>
    <x v="2"/>
    <x v="1"/>
  </r>
  <r>
    <x v="22"/>
    <n v="880"/>
    <n v="1350"/>
    <n v="470"/>
    <x v="18"/>
    <x v="9"/>
    <x v="5"/>
    <x v="1"/>
    <x v="0"/>
  </r>
  <r>
    <x v="23"/>
    <n v="1650"/>
    <n v="2150"/>
    <n v="500"/>
    <x v="19"/>
    <x v="1"/>
    <x v="11"/>
    <x v="1"/>
    <x v="0"/>
  </r>
  <r>
    <x v="24"/>
    <n v="2048"/>
    <n v="4500"/>
    <n v="2452"/>
    <x v="20"/>
    <x v="3"/>
    <x v="12"/>
    <x v="1"/>
    <x v="1"/>
  </r>
  <r>
    <x v="25"/>
    <n v="420"/>
    <n v="647"/>
    <n v="227"/>
    <x v="18"/>
    <x v="15"/>
    <x v="2"/>
    <x v="0"/>
    <x v="0"/>
  </r>
  <r>
    <x v="26"/>
    <n v="2880"/>
    <n v="3520"/>
    <n v="640"/>
    <x v="21"/>
    <x v="7"/>
    <x v="6"/>
    <x v="1"/>
    <x v="2"/>
  </r>
  <r>
    <x v="27"/>
    <n v="1350"/>
    <n v="1990"/>
    <n v="640"/>
    <x v="22"/>
    <x v="13"/>
    <x v="6"/>
    <x v="1"/>
    <x v="0"/>
  </r>
  <r>
    <x v="28"/>
    <n v="1758"/>
    <n v="2499"/>
    <n v="741"/>
    <x v="23"/>
    <x v="16"/>
    <x v="1"/>
    <x v="1"/>
    <x v="0"/>
  </r>
  <r>
    <x v="29"/>
    <n v="2200"/>
    <n v="4080"/>
    <n v="1880"/>
    <x v="14"/>
    <x v="14"/>
    <x v="10"/>
    <x v="2"/>
    <x v="1"/>
  </r>
  <r>
    <x v="30"/>
    <n v="185"/>
    <n v="382"/>
    <n v="197"/>
    <x v="24"/>
    <x v="10"/>
    <x v="12"/>
    <x v="1"/>
    <x v="1"/>
  </r>
  <r>
    <x v="31"/>
    <n v="980"/>
    <n v="1490"/>
    <n v="510"/>
    <x v="10"/>
    <x v="7"/>
    <x v="3"/>
    <x v="0"/>
    <x v="0"/>
  </r>
  <r>
    <x v="32"/>
    <n v="1820"/>
    <n v="3490"/>
    <n v="1670"/>
    <x v="25"/>
    <x v="10"/>
    <x v="12"/>
    <x v="1"/>
    <x v="1"/>
  </r>
  <r>
    <x v="33"/>
    <n v="1940"/>
    <n v="2650"/>
    <n v="710"/>
    <x v="26"/>
    <x v="16"/>
    <x v="3"/>
    <x v="0"/>
    <x v="0"/>
  </r>
  <r>
    <x v="34"/>
    <n v="1980"/>
    <n v="2699"/>
    <n v="719"/>
    <x v="26"/>
    <x v="17"/>
    <x v="0"/>
    <x v="0"/>
    <x v="0"/>
  </r>
  <r>
    <x v="35"/>
    <n v="1620"/>
    <n v="2690"/>
    <n v="1070"/>
    <x v="27"/>
    <x v="18"/>
    <x v="8"/>
    <x v="0"/>
    <x v="0"/>
  </r>
  <r>
    <x v="36"/>
    <n v="171"/>
    <n v="360"/>
    <n v="189"/>
    <x v="17"/>
    <x v="0"/>
    <x v="8"/>
    <x v="0"/>
    <x v="1"/>
  </r>
  <r>
    <x v="37"/>
    <n v="389"/>
    <n v="656"/>
    <n v="267"/>
    <x v="28"/>
    <x v="19"/>
    <x v="12"/>
    <x v="1"/>
    <x v="1"/>
  </r>
  <r>
    <x v="38"/>
    <n v="1800"/>
    <n v="2700"/>
    <n v="900"/>
    <x v="0"/>
    <x v="0"/>
    <x v="0"/>
    <x v="0"/>
    <x v="0"/>
  </r>
  <r>
    <x v="39"/>
    <n v="2750"/>
    <n v="4471"/>
    <n v="1721"/>
    <x v="0"/>
    <x v="14"/>
    <x v="10"/>
    <x v="2"/>
    <x v="0"/>
  </r>
  <r>
    <x v="40"/>
    <n v="475"/>
    <n v="931"/>
    <n v="456"/>
    <x v="15"/>
    <x v="14"/>
    <x v="10"/>
    <x v="2"/>
    <x v="1"/>
  </r>
  <r>
    <x v="41"/>
    <n v="238"/>
    <n v="476"/>
    <n v="238"/>
    <x v="29"/>
    <x v="14"/>
    <x v="10"/>
    <x v="2"/>
    <x v="1"/>
  </r>
  <r>
    <x v="42"/>
    <n v="2132"/>
    <n v="2169"/>
    <n v="37"/>
    <x v="30"/>
    <x v="14"/>
    <x v="10"/>
    <x v="2"/>
    <x v="2"/>
  </r>
  <r>
    <x v="43"/>
    <n v="999"/>
    <n v="2000"/>
    <n v="1001"/>
    <x v="29"/>
    <x v="14"/>
    <x v="10"/>
    <x v="2"/>
    <x v="1"/>
  </r>
  <r>
    <x v="44"/>
    <n v="1190"/>
    <n v="1785"/>
    <n v="595"/>
    <x v="12"/>
    <x v="14"/>
    <x v="10"/>
    <x v="2"/>
    <x v="0"/>
  </r>
  <r>
    <x v="45"/>
    <n v="671"/>
    <n v="1316"/>
    <n v="645"/>
    <x v="15"/>
    <x v="14"/>
    <x v="10"/>
    <x v="2"/>
    <x v="1"/>
  </r>
  <r>
    <x v="46"/>
    <n v="1200"/>
    <n v="1950"/>
    <n v="750"/>
    <x v="0"/>
    <x v="14"/>
    <x v="10"/>
    <x v="2"/>
    <x v="0"/>
  </r>
  <r>
    <x v="47"/>
    <n v="199"/>
    <n v="504"/>
    <n v="305"/>
    <x v="31"/>
    <x v="14"/>
    <x v="10"/>
    <x v="2"/>
    <x v="1"/>
  </r>
  <r>
    <x v="48"/>
    <n v="299"/>
    <n v="600"/>
    <n v="301"/>
    <x v="29"/>
    <x v="14"/>
    <x v="10"/>
    <x v="2"/>
    <x v="1"/>
  </r>
  <r>
    <x v="49"/>
    <n v="1660"/>
    <n v="1699"/>
    <n v="39"/>
    <x v="30"/>
    <x v="14"/>
    <x v="10"/>
    <x v="2"/>
    <x v="2"/>
  </r>
  <r>
    <x v="50"/>
    <n v="299"/>
    <n v="384"/>
    <n v="85"/>
    <x v="32"/>
    <x v="14"/>
    <x v="10"/>
    <x v="2"/>
    <x v="0"/>
  </r>
  <r>
    <x v="51"/>
    <n v="1459"/>
    <n v="1499"/>
    <n v="40"/>
    <x v="33"/>
    <x v="14"/>
    <x v="10"/>
    <x v="2"/>
    <x v="2"/>
  </r>
  <r>
    <x v="52"/>
    <n v="799"/>
    <n v="1343"/>
    <n v="544"/>
    <x v="28"/>
    <x v="14"/>
    <x v="10"/>
    <x v="2"/>
    <x v="1"/>
  </r>
  <r>
    <x v="53"/>
    <n v="499"/>
    <n v="900"/>
    <n v="401"/>
    <x v="8"/>
    <x v="14"/>
    <x v="10"/>
    <x v="2"/>
    <x v="1"/>
  </r>
  <r>
    <x v="54"/>
    <n v="699"/>
    <n v="1343"/>
    <n v="644"/>
    <x v="25"/>
    <x v="14"/>
    <x v="10"/>
    <x v="2"/>
    <x v="1"/>
  </r>
  <r>
    <x v="55"/>
    <n v="799"/>
    <n v="1567"/>
    <n v="768"/>
    <x v="15"/>
    <x v="14"/>
    <x v="10"/>
    <x v="2"/>
    <x v="1"/>
  </r>
  <r>
    <x v="56"/>
    <n v="2799"/>
    <n v="3810"/>
    <n v="1011"/>
    <x v="26"/>
    <x v="14"/>
    <x v="10"/>
    <x v="2"/>
    <x v="0"/>
  </r>
  <r>
    <x v="53"/>
    <n v="399"/>
    <n v="896"/>
    <n v="497"/>
    <x v="7"/>
    <x v="14"/>
    <x v="10"/>
    <x v="2"/>
    <x v="1"/>
  </r>
  <r>
    <x v="57"/>
    <n v="2170"/>
    <n v="2500"/>
    <n v="330"/>
    <x v="34"/>
    <x v="9"/>
    <x v="13"/>
    <x v="3"/>
    <x v="2"/>
  </r>
  <r>
    <x v="58"/>
    <n v="458"/>
    <n v="986"/>
    <n v="528"/>
    <x v="20"/>
    <x v="20"/>
    <x v="14"/>
    <x v="1"/>
    <x v="1"/>
  </r>
  <r>
    <x v="59"/>
    <n v="2115"/>
    <n v="4700"/>
    <n v="2585"/>
    <x v="7"/>
    <x v="13"/>
    <x v="15"/>
    <x v="3"/>
    <x v="1"/>
  </r>
  <r>
    <x v="60"/>
    <n v="445"/>
    <n v="873"/>
    <n v="428"/>
    <x v="15"/>
    <x v="21"/>
    <x v="16"/>
    <x v="3"/>
    <x v="1"/>
  </r>
  <r>
    <x v="61"/>
    <n v="325"/>
    <n v="680"/>
    <n v="355"/>
    <x v="24"/>
    <x v="5"/>
    <x v="17"/>
    <x v="3"/>
    <x v="1"/>
  </r>
  <r>
    <x v="62"/>
    <n v="1220"/>
    <n v="1555"/>
    <n v="335"/>
    <x v="32"/>
    <x v="22"/>
    <x v="18"/>
    <x v="3"/>
    <x v="0"/>
  </r>
  <r>
    <x v="63"/>
    <n v="990"/>
    <n v="1814"/>
    <n v="824"/>
    <x v="8"/>
    <x v="9"/>
    <x v="19"/>
    <x v="3"/>
    <x v="1"/>
  </r>
  <r>
    <x v="64"/>
    <n v="1000"/>
    <n v="2000"/>
    <n v="1000"/>
    <x v="29"/>
    <x v="3"/>
    <x v="20"/>
    <x v="3"/>
    <x v="1"/>
  </r>
  <r>
    <x v="65"/>
    <n v="3750"/>
    <n v="6143"/>
    <n v="2393"/>
    <x v="35"/>
    <x v="4"/>
    <x v="14"/>
    <x v="1"/>
    <x v="0"/>
  </r>
  <r>
    <x v="66"/>
    <n v="382"/>
    <n v="700"/>
    <n v="318"/>
    <x v="8"/>
    <x v="23"/>
    <x v="21"/>
    <x v="3"/>
    <x v="1"/>
  </r>
  <r>
    <x v="67"/>
    <n v="2300"/>
    <n v="3240"/>
    <n v="940"/>
    <x v="36"/>
    <x v="4"/>
    <x v="14"/>
    <x v="1"/>
    <x v="0"/>
  </r>
  <r>
    <x v="68"/>
    <n v="345"/>
    <n v="602"/>
    <n v="257"/>
    <x v="37"/>
    <x v="9"/>
    <x v="20"/>
    <x v="3"/>
    <x v="1"/>
  </r>
  <r>
    <x v="69"/>
    <n v="509"/>
    <n v="899"/>
    <n v="390"/>
    <x v="37"/>
    <x v="4"/>
    <x v="14"/>
    <x v="1"/>
    <x v="1"/>
  </r>
  <r>
    <x v="70"/>
    <n v="968"/>
    <n v="1814"/>
    <n v="846"/>
    <x v="1"/>
    <x v="9"/>
    <x v="19"/>
    <x v="3"/>
    <x v="1"/>
  </r>
  <r>
    <x v="71"/>
    <n v="1570"/>
    <n v="2988"/>
    <n v="1418"/>
    <x v="1"/>
    <x v="3"/>
    <x v="15"/>
    <x v="3"/>
    <x v="1"/>
  </r>
  <r>
    <x v="72"/>
    <n v="790"/>
    <n v="1485"/>
    <n v="695"/>
    <x v="1"/>
    <x v="14"/>
    <x v="10"/>
    <x v="2"/>
    <x v="1"/>
  </r>
  <r>
    <x v="73"/>
    <n v="690"/>
    <n v="1200"/>
    <n v="510"/>
    <x v="37"/>
    <x v="14"/>
    <x v="10"/>
    <x v="2"/>
    <x v="1"/>
  </r>
  <r>
    <x v="74"/>
    <n v="1732"/>
    <n v="1799"/>
    <n v="67"/>
    <x v="38"/>
    <x v="14"/>
    <x v="10"/>
    <x v="2"/>
    <x v="2"/>
  </r>
  <r>
    <x v="75"/>
    <n v="230"/>
    <n v="450"/>
    <n v="220"/>
    <x v="15"/>
    <x v="14"/>
    <x v="10"/>
    <x v="2"/>
    <x v="1"/>
  </r>
  <r>
    <x v="76"/>
    <n v="1189"/>
    <n v="2199"/>
    <n v="1010"/>
    <x v="14"/>
    <x v="18"/>
    <x v="14"/>
    <x v="1"/>
    <x v="1"/>
  </r>
  <r>
    <x v="77"/>
    <n v="979"/>
    <n v="1920"/>
    <n v="941"/>
    <x v="15"/>
    <x v="18"/>
    <x v="8"/>
    <x v="0"/>
    <x v="1"/>
  </r>
  <r>
    <x v="78"/>
    <n v="1460"/>
    <n v="2290"/>
    <n v="830"/>
    <x v="39"/>
    <x v="14"/>
    <x v="10"/>
    <x v="2"/>
    <x v="0"/>
  </r>
  <r>
    <x v="79"/>
    <n v="1666"/>
    <n v="1699"/>
    <n v="33"/>
    <x v="30"/>
    <x v="14"/>
    <x v="10"/>
    <x v="2"/>
    <x v="2"/>
  </r>
  <r>
    <x v="80"/>
    <n v="330"/>
    <n v="647"/>
    <n v="317"/>
    <x v="15"/>
    <x v="18"/>
    <x v="5"/>
    <x v="1"/>
    <x v="1"/>
  </r>
  <r>
    <x v="81"/>
    <n v="610"/>
    <n v="1060"/>
    <n v="450"/>
    <x v="11"/>
    <x v="14"/>
    <x v="10"/>
    <x v="2"/>
    <x v="1"/>
  </r>
  <r>
    <x v="47"/>
    <n v="176"/>
    <n v="345"/>
    <n v="169"/>
    <x v="15"/>
    <x v="14"/>
    <x v="10"/>
    <x v="2"/>
    <x v="1"/>
  </r>
  <r>
    <x v="82"/>
    <n v="1466"/>
    <n v="1699"/>
    <n v="233"/>
    <x v="40"/>
    <x v="14"/>
    <x v="10"/>
    <x v="2"/>
    <x v="2"/>
  </r>
  <r>
    <x v="83"/>
    <n v="274"/>
    <n v="537"/>
    <n v="263"/>
    <x v="15"/>
    <x v="14"/>
    <x v="10"/>
    <x v="2"/>
    <x v="1"/>
  </r>
  <r>
    <x v="84"/>
    <n v="799"/>
    <n v="900"/>
    <n v="101"/>
    <x v="41"/>
    <x v="14"/>
    <x v="10"/>
    <x v="2"/>
    <x v="2"/>
  </r>
  <r>
    <x v="55"/>
    <n v="657"/>
    <n v="1288"/>
    <n v="631"/>
    <x v="15"/>
    <x v="14"/>
    <x v="10"/>
    <x v="2"/>
    <x v="1"/>
  </r>
  <r>
    <x v="85"/>
    <n v="1468"/>
    <n v="1699"/>
    <n v="231"/>
    <x v="40"/>
    <x v="14"/>
    <x v="10"/>
    <x v="2"/>
    <x v="2"/>
  </r>
  <r>
    <x v="86"/>
    <n v="630"/>
    <n v="1100"/>
    <n v="470"/>
    <x v="37"/>
    <x v="14"/>
    <x v="10"/>
    <x v="2"/>
    <x v="1"/>
  </r>
  <r>
    <x v="87"/>
    <n v="850"/>
    <n v="1700"/>
    <n v="850"/>
    <x v="29"/>
    <x v="14"/>
    <x v="10"/>
    <x v="2"/>
    <x v="1"/>
  </r>
  <r>
    <x v="88"/>
    <n v="1300"/>
    <n v="2500"/>
    <n v="1200"/>
    <x v="25"/>
    <x v="14"/>
    <x v="10"/>
    <x v="2"/>
    <x v="1"/>
  </r>
  <r>
    <x v="89"/>
    <n v="105"/>
    <n v="200"/>
    <n v="95"/>
    <x v="25"/>
    <x v="14"/>
    <x v="10"/>
    <x v="2"/>
    <x v="1"/>
  </r>
  <r>
    <x v="90"/>
    <n v="899"/>
    <n v="1699"/>
    <n v="800"/>
    <x v="1"/>
    <x v="14"/>
    <x v="10"/>
    <x v="2"/>
    <x v="1"/>
  </r>
  <r>
    <x v="91"/>
    <n v="1200"/>
    <n v="2400"/>
    <n v="1200"/>
    <x v="29"/>
    <x v="14"/>
    <x v="10"/>
    <x v="2"/>
    <x v="1"/>
  </r>
  <r>
    <x v="92"/>
    <n v="1526"/>
    <n v="1660"/>
    <n v="134"/>
    <x v="42"/>
    <x v="14"/>
    <x v="10"/>
    <x v="2"/>
    <x v="2"/>
  </r>
  <r>
    <x v="93"/>
    <n v="1462"/>
    <n v="1499"/>
    <n v="37"/>
    <x v="30"/>
    <x v="14"/>
    <x v="10"/>
    <x v="2"/>
    <x v="2"/>
  </r>
  <r>
    <x v="94"/>
    <n v="248"/>
    <n v="486"/>
    <n v="238"/>
    <x v="15"/>
    <x v="14"/>
    <x v="10"/>
    <x v="2"/>
    <x v="1"/>
  </r>
  <r>
    <x v="95"/>
    <n v="3546"/>
    <n v="3699"/>
    <n v="153"/>
    <x v="38"/>
    <x v="14"/>
    <x v="10"/>
    <x v="2"/>
    <x v="2"/>
  </r>
  <r>
    <x v="96"/>
    <n v="525"/>
    <n v="1029"/>
    <n v="504"/>
    <x v="15"/>
    <x v="14"/>
    <x v="10"/>
    <x v="2"/>
    <x v="1"/>
  </r>
  <r>
    <x v="97"/>
    <n v="1080"/>
    <n v="1874"/>
    <n v="794"/>
    <x v="11"/>
    <x v="14"/>
    <x v="10"/>
    <x v="2"/>
    <x v="1"/>
  </r>
  <r>
    <x v="98"/>
    <n v="3640"/>
    <n v="4588"/>
    <n v="948"/>
    <x v="43"/>
    <x v="18"/>
    <x v="8"/>
    <x v="0"/>
    <x v="0"/>
  </r>
  <r>
    <x v="99"/>
    <n v="1420"/>
    <n v="2420"/>
    <n v="1000"/>
    <x v="28"/>
    <x v="14"/>
    <x v="10"/>
    <x v="2"/>
    <x v="1"/>
  </r>
  <r>
    <x v="100"/>
    <n v="1875"/>
    <n v="1899"/>
    <n v="24"/>
    <x v="44"/>
    <x v="14"/>
    <x v="10"/>
    <x v="2"/>
    <x v="2"/>
  </r>
  <r>
    <x v="101"/>
    <n v="198"/>
    <n v="260"/>
    <n v="62"/>
    <x v="6"/>
    <x v="14"/>
    <x v="10"/>
    <x v="2"/>
    <x v="0"/>
  </r>
  <r>
    <x v="102"/>
    <n v="1150"/>
    <n v="1737"/>
    <n v="587"/>
    <x v="10"/>
    <x v="14"/>
    <x v="10"/>
    <x v="2"/>
    <x v="0"/>
  </r>
  <r>
    <x v="103"/>
    <n v="1190"/>
    <n v="1810"/>
    <n v="620"/>
    <x v="10"/>
    <x v="14"/>
    <x v="10"/>
    <x v="2"/>
    <x v="0"/>
  </r>
  <r>
    <x v="104"/>
    <n v="1658"/>
    <n v="1699"/>
    <n v="41"/>
    <x v="30"/>
    <x v="14"/>
    <x v="10"/>
    <x v="2"/>
    <x v="2"/>
  </r>
  <r>
    <x v="105"/>
    <n v="1768"/>
    <n v="1799"/>
    <n v="31"/>
    <x v="30"/>
    <x v="14"/>
    <x v="10"/>
    <x v="2"/>
    <x v="2"/>
  </r>
  <r>
    <x v="106"/>
    <n v="199"/>
    <n v="553"/>
    <n v="354"/>
    <x v="45"/>
    <x v="14"/>
    <x v="10"/>
    <x v="2"/>
    <x v="1"/>
  </r>
  <r>
    <x v="107"/>
    <n v="450"/>
    <n v="900"/>
    <n v="450"/>
    <x v="29"/>
    <x v="18"/>
    <x v="22"/>
    <x v="3"/>
    <x v="1"/>
  </r>
  <r>
    <x v="108"/>
    <n v="169"/>
    <n v="320"/>
    <n v="151"/>
    <x v="1"/>
    <x v="14"/>
    <x v="10"/>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83D4B4-EC3C-484D-ADD7-73A085A4F2BD}"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113" firstHeaderRow="1" firstDataRow="1" firstDataCol="1" rowPageCount="1" colPageCount="1"/>
  <pivotFields count="9">
    <pivotField axis="axisRow" showAll="0">
      <items count="110">
        <item x="38"/>
        <item x="11"/>
        <item x="0"/>
        <item x="27"/>
        <item x="31"/>
        <item x="60"/>
        <item x="56"/>
        <item x="9"/>
        <item x="6"/>
        <item x="101"/>
        <item x="79"/>
        <item x="5"/>
        <item x="100"/>
        <item x="91"/>
        <item x="46"/>
        <item x="72"/>
        <item x="65"/>
        <item x="64"/>
        <item x="19"/>
        <item x="73"/>
        <item x="20"/>
        <item x="94"/>
        <item x="12"/>
        <item x="40"/>
        <item x="21"/>
        <item x="57"/>
        <item x="28"/>
        <item x="34"/>
        <item x="33"/>
        <item x="78"/>
        <item x="59"/>
        <item x="106"/>
        <item x="90"/>
        <item x="44"/>
        <item x="75"/>
        <item x="70"/>
        <item x="97"/>
        <item x="99"/>
        <item x="66"/>
        <item x="55"/>
        <item x="15"/>
        <item x="63"/>
        <item x="96"/>
        <item x="81"/>
        <item x="77"/>
        <item x="108"/>
        <item x="48"/>
        <item x="45"/>
        <item x="83"/>
        <item x="103"/>
        <item x="43"/>
        <item x="54"/>
        <item x="36"/>
        <item x="47"/>
        <item x="74"/>
        <item x="52"/>
        <item x="7"/>
        <item x="35"/>
        <item x="71"/>
        <item x="25"/>
        <item x="30"/>
        <item x="23"/>
        <item x="10"/>
        <item x="80"/>
        <item x="61"/>
        <item x="98"/>
        <item x="67"/>
        <item x="24"/>
        <item x="17"/>
        <item x="13"/>
        <item x="8"/>
        <item x="39"/>
        <item x="32"/>
        <item x="22"/>
        <item x="102"/>
        <item x="18"/>
        <item x="76"/>
        <item x="1"/>
        <item x="95"/>
        <item x="41"/>
        <item x="14"/>
        <item x="86"/>
        <item x="29"/>
        <item x="51"/>
        <item x="58"/>
        <item x="82"/>
        <item x="84"/>
        <item x="16"/>
        <item x="49"/>
        <item x="50"/>
        <item x="4"/>
        <item x="2"/>
        <item x="93"/>
        <item x="26"/>
        <item x="88"/>
        <item x="37"/>
        <item x="89"/>
        <item x="42"/>
        <item x="104"/>
        <item x="53"/>
        <item x="105"/>
        <item x="62"/>
        <item x="87"/>
        <item x="92"/>
        <item x="107"/>
        <item x="85"/>
        <item x="68"/>
        <item x="3"/>
        <item x="69"/>
        <item t="default"/>
      </items>
    </pivotField>
    <pivotField showAll="0"/>
    <pivotField showAll="0"/>
    <pivotField numFmtId="3" showAll="0"/>
    <pivotField numFmtId="9" showAll="0"/>
    <pivotField showAll="0"/>
    <pivotField axis="axisPage" dataField="1" multipleItemSelectionAllowed="1" showAll="0">
      <items count="24">
        <item x="22"/>
        <item x="15"/>
        <item x="19"/>
        <item x="20"/>
        <item x="13"/>
        <item x="21"/>
        <item x="17"/>
        <item x="16"/>
        <item x="18"/>
        <item x="14"/>
        <item x="9"/>
        <item x="6"/>
        <item x="5"/>
        <item x="1"/>
        <item x="7"/>
        <item x="12"/>
        <item x="11"/>
        <item x="0"/>
        <item x="2"/>
        <item x="3"/>
        <item x="4"/>
        <item x="8"/>
        <item x="10"/>
        <item t="default"/>
      </items>
    </pivotField>
    <pivotField showAll="0"/>
    <pivotField showAll="0"/>
  </pivotFields>
  <rowFields count="1">
    <field x="0"/>
  </rowFields>
  <rowItems count="11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t="grand">
      <x/>
    </i>
  </rowItems>
  <colItems count="1">
    <i/>
  </colItems>
  <pageFields count="1">
    <pageField fld="6" hier="-1"/>
  </pageFields>
  <dataFields count="1">
    <dataField name="Sum of Rating" fld="6"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4E416F-14CF-4FD5-8828-4D253FC2F007}"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Product">
  <location ref="A3:C11" firstHeaderRow="0" firstDataRow="1" firstDataCol="1" rowPageCount="1" colPageCount="1"/>
  <pivotFields count="9">
    <pivotField axis="axisRow" showAll="0">
      <items count="110">
        <item x="38"/>
        <item x="11"/>
        <item x="0"/>
        <item x="27"/>
        <item x="31"/>
        <item x="60"/>
        <item x="56"/>
        <item x="9"/>
        <item x="6"/>
        <item x="101"/>
        <item x="79"/>
        <item x="5"/>
        <item x="100"/>
        <item x="91"/>
        <item x="46"/>
        <item x="72"/>
        <item x="65"/>
        <item x="64"/>
        <item x="19"/>
        <item x="73"/>
        <item x="20"/>
        <item x="94"/>
        <item x="12"/>
        <item x="40"/>
        <item x="21"/>
        <item x="57"/>
        <item x="28"/>
        <item x="34"/>
        <item x="33"/>
        <item x="78"/>
        <item x="59"/>
        <item x="106"/>
        <item x="90"/>
        <item x="44"/>
        <item x="75"/>
        <item x="70"/>
        <item x="97"/>
        <item x="99"/>
        <item x="66"/>
        <item x="55"/>
        <item x="15"/>
        <item x="63"/>
        <item x="96"/>
        <item x="81"/>
        <item x="77"/>
        <item x="108"/>
        <item x="48"/>
        <item x="45"/>
        <item x="83"/>
        <item x="103"/>
        <item x="43"/>
        <item x="54"/>
        <item x="36"/>
        <item x="47"/>
        <item x="74"/>
        <item x="52"/>
        <item x="7"/>
        <item x="35"/>
        <item x="71"/>
        <item x="25"/>
        <item x="30"/>
        <item x="23"/>
        <item x="10"/>
        <item x="80"/>
        <item x="61"/>
        <item x="98"/>
        <item x="67"/>
        <item x="24"/>
        <item x="17"/>
        <item x="13"/>
        <item x="8"/>
        <item x="39"/>
        <item x="32"/>
        <item x="22"/>
        <item x="102"/>
        <item x="18"/>
        <item x="76"/>
        <item x="1"/>
        <item x="95"/>
        <item x="41"/>
        <item x="14"/>
        <item x="86"/>
        <item x="29"/>
        <item x="51"/>
        <item x="58"/>
        <item x="82"/>
        <item x="84"/>
        <item x="16"/>
        <item x="49"/>
        <item x="50"/>
        <item x="4"/>
        <item x="2"/>
        <item x="93"/>
        <item x="26"/>
        <item x="88"/>
        <item x="37"/>
        <item x="89"/>
        <item x="42"/>
        <item x="104"/>
        <item x="53"/>
        <item x="105"/>
        <item x="62"/>
        <item x="87"/>
        <item x="92"/>
        <item x="107"/>
        <item x="85"/>
        <item x="68"/>
        <item x="3"/>
        <item x="69"/>
        <item t="default"/>
      </items>
    </pivotField>
    <pivotField showAll="0"/>
    <pivotField showAll="0"/>
    <pivotField numFmtId="3" showAll="0"/>
    <pivotField numFmtId="9" showAll="0"/>
    <pivotField dataField="1" showAll="0"/>
    <pivotField axis="axisPage" dataField="1" multipleItemSelectionAllowed="1" showAll="0">
      <items count="24">
        <item h="1" x="22"/>
        <item h="1" x="15"/>
        <item h="1" x="19"/>
        <item h="1" x="20"/>
        <item h="1" x="13"/>
        <item h="1" x="21"/>
        <item h="1" x="17"/>
        <item h="1" x="16"/>
        <item h="1" x="18"/>
        <item h="1" x="14"/>
        <item h="1" x="9"/>
        <item h="1" x="6"/>
        <item h="1" x="5"/>
        <item h="1" x="1"/>
        <item h="1" x="7"/>
        <item h="1" x="12"/>
        <item h="1" x="11"/>
        <item h="1" x="0"/>
        <item h="1" x="2"/>
        <item h="1" x="3"/>
        <item h="1" x="4"/>
        <item x="8"/>
        <item h="1" x="10"/>
        <item t="default"/>
      </items>
    </pivotField>
    <pivotField showAll="0"/>
    <pivotField showAll="0"/>
  </pivotFields>
  <rowFields count="1">
    <field x="0"/>
  </rowFields>
  <rowItems count="8">
    <i>
      <x v="40"/>
    </i>
    <i>
      <x v="44"/>
    </i>
    <i>
      <x v="52"/>
    </i>
    <i>
      <x v="57"/>
    </i>
    <i>
      <x v="65"/>
    </i>
    <i>
      <x v="68"/>
    </i>
    <i>
      <x v="87"/>
    </i>
    <i t="grand">
      <x/>
    </i>
  </rowItems>
  <colFields count="1">
    <field x="-2"/>
  </colFields>
  <colItems count="2">
    <i>
      <x/>
    </i>
    <i i="1">
      <x v="1"/>
    </i>
  </colItems>
  <pageFields count="1">
    <pageField fld="6" hier="-1"/>
  </pageFields>
  <dataFields count="2">
    <dataField name=" Rating" fld="6" baseField="0" baseItem="40"/>
    <dataField name="No Of Reviews" fld="5" baseField="0" baseItem="4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4B020FF-DBCF-4448-9C57-8DC6D6654519}"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Products">
  <location ref="A3:B11" firstHeaderRow="1" firstDataRow="1" firstDataCol="1" rowPageCount="1" colPageCount="1"/>
  <pivotFields count="9">
    <pivotField axis="axisRow" showAll="0">
      <items count="110">
        <item x="38"/>
        <item x="11"/>
        <item x="0"/>
        <item x="27"/>
        <item x="31"/>
        <item x="60"/>
        <item x="56"/>
        <item x="9"/>
        <item x="6"/>
        <item x="101"/>
        <item x="79"/>
        <item x="5"/>
        <item x="100"/>
        <item x="91"/>
        <item x="46"/>
        <item x="72"/>
        <item x="65"/>
        <item x="64"/>
        <item x="19"/>
        <item x="73"/>
        <item x="20"/>
        <item x="94"/>
        <item x="12"/>
        <item x="40"/>
        <item x="21"/>
        <item x="57"/>
        <item x="28"/>
        <item x="34"/>
        <item x="33"/>
        <item x="78"/>
        <item x="59"/>
        <item x="106"/>
        <item x="90"/>
        <item x="44"/>
        <item x="75"/>
        <item x="70"/>
        <item x="97"/>
        <item x="99"/>
        <item x="66"/>
        <item x="55"/>
        <item x="15"/>
        <item x="63"/>
        <item x="96"/>
        <item x="81"/>
        <item x="77"/>
        <item x="108"/>
        <item x="48"/>
        <item x="45"/>
        <item x="83"/>
        <item x="103"/>
        <item x="43"/>
        <item x="54"/>
        <item x="36"/>
        <item x="47"/>
        <item x="74"/>
        <item x="52"/>
        <item x="7"/>
        <item x="35"/>
        <item x="71"/>
        <item x="25"/>
        <item x="30"/>
        <item x="23"/>
        <item x="10"/>
        <item x="80"/>
        <item x="61"/>
        <item x="98"/>
        <item x="67"/>
        <item x="24"/>
        <item x="17"/>
        <item x="13"/>
        <item x="8"/>
        <item x="39"/>
        <item x="32"/>
        <item x="22"/>
        <item x="102"/>
        <item x="18"/>
        <item x="76"/>
        <item x="1"/>
        <item x="95"/>
        <item x="41"/>
        <item x="14"/>
        <item x="86"/>
        <item x="29"/>
        <item x="51"/>
        <item x="58"/>
        <item x="82"/>
        <item x="84"/>
        <item x="16"/>
        <item x="49"/>
        <item x="50"/>
        <item x="4"/>
        <item x="2"/>
        <item x="93"/>
        <item x="26"/>
        <item x="88"/>
        <item x="37"/>
        <item x="89"/>
        <item x="42"/>
        <item x="104"/>
        <item x="53"/>
        <item x="105"/>
        <item x="62"/>
        <item x="87"/>
        <item x="92"/>
        <item x="107"/>
        <item x="85"/>
        <item x="68"/>
        <item x="3"/>
        <item x="69"/>
        <item t="default"/>
      </items>
    </pivotField>
    <pivotField showAll="0"/>
    <pivotField showAll="0"/>
    <pivotField numFmtId="3" showAll="0"/>
    <pivotField numFmtId="9" showAll="0"/>
    <pivotField axis="axisPage" dataField="1" multipleItemSelectionAllowed="1" showAll="0">
      <items count="25">
        <item h="1" x="18"/>
        <item h="1" x="0"/>
        <item h="1" x="11"/>
        <item h="1" x="4"/>
        <item h="1" x="9"/>
        <item h="1" x="3"/>
        <item h="1" x="10"/>
        <item h="1" x="20"/>
        <item h="1" x="7"/>
        <item h="1" x="13"/>
        <item h="1" x="1"/>
        <item h="1" x="5"/>
        <item h="1" x="22"/>
        <item h="1" x="23"/>
        <item h="1" x="16"/>
        <item h="1" x="2"/>
        <item x="17"/>
        <item x="19"/>
        <item x="8"/>
        <item x="12"/>
        <item x="15"/>
        <item x="6"/>
        <item x="21"/>
        <item h="1" x="14"/>
        <item t="default"/>
      </items>
    </pivotField>
    <pivotField showAll="0"/>
    <pivotField showAll="0"/>
    <pivotField showAll="0"/>
  </pivotFields>
  <rowFields count="1">
    <field x="0"/>
  </rowFields>
  <rowItems count="8">
    <i>
      <x v="1"/>
    </i>
    <i>
      <x v="5"/>
    </i>
    <i>
      <x v="8"/>
    </i>
    <i>
      <x v="18"/>
    </i>
    <i>
      <x v="27"/>
    </i>
    <i>
      <x v="59"/>
    </i>
    <i>
      <x v="95"/>
    </i>
    <i t="grand">
      <x/>
    </i>
  </rowItems>
  <colItems count="1">
    <i/>
  </colItems>
  <pageFields count="1">
    <pageField fld="5" hier="-1"/>
  </pageFields>
  <dataFields count="1">
    <dataField name="No of Review" fld="5"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F2F5FD-2B82-40DE-8FAD-648AA7F63811}"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11" firstHeaderRow="1" firstDataRow="1" firstDataCol="1" rowPageCount="1" colPageCount="1"/>
  <pivotFields count="9">
    <pivotField axis="axisRow" showAll="0">
      <items count="110">
        <item x="38"/>
        <item x="11"/>
        <item x="0"/>
        <item x="27"/>
        <item x="31"/>
        <item x="60"/>
        <item x="56"/>
        <item x="9"/>
        <item x="6"/>
        <item x="101"/>
        <item x="79"/>
        <item x="5"/>
        <item x="100"/>
        <item x="91"/>
        <item x="46"/>
        <item x="72"/>
        <item x="65"/>
        <item x="64"/>
        <item x="19"/>
        <item x="73"/>
        <item x="20"/>
        <item x="94"/>
        <item x="12"/>
        <item x="40"/>
        <item x="21"/>
        <item x="57"/>
        <item x="28"/>
        <item x="34"/>
        <item x="33"/>
        <item x="78"/>
        <item x="59"/>
        <item x="106"/>
        <item x="90"/>
        <item x="44"/>
        <item x="75"/>
        <item x="70"/>
        <item x="97"/>
        <item x="99"/>
        <item x="66"/>
        <item x="55"/>
        <item x="15"/>
        <item x="63"/>
        <item x="96"/>
        <item x="81"/>
        <item x="77"/>
        <item x="108"/>
        <item x="48"/>
        <item x="45"/>
        <item x="83"/>
        <item x="103"/>
        <item x="43"/>
        <item x="54"/>
        <item x="36"/>
        <item x="47"/>
        <item x="74"/>
        <item x="52"/>
        <item x="7"/>
        <item x="35"/>
        <item x="71"/>
        <item x="25"/>
        <item x="30"/>
        <item x="23"/>
        <item x="10"/>
        <item x="80"/>
        <item x="61"/>
        <item x="98"/>
        <item x="67"/>
        <item x="24"/>
        <item x="17"/>
        <item x="13"/>
        <item x="8"/>
        <item x="39"/>
        <item x="32"/>
        <item x="22"/>
        <item x="102"/>
        <item x="18"/>
        <item x="76"/>
        <item x="1"/>
        <item x="95"/>
        <item x="41"/>
        <item x="14"/>
        <item x="86"/>
        <item x="29"/>
        <item x="51"/>
        <item x="58"/>
        <item x="82"/>
        <item x="84"/>
        <item x="16"/>
        <item x="49"/>
        <item x="50"/>
        <item x="4"/>
        <item x="2"/>
        <item x="93"/>
        <item x="26"/>
        <item x="88"/>
        <item x="37"/>
        <item x="89"/>
        <item x="42"/>
        <item x="104"/>
        <item x="53"/>
        <item x="105"/>
        <item x="62"/>
        <item x="87"/>
        <item x="92"/>
        <item x="107"/>
        <item x="85"/>
        <item x="68"/>
        <item x="3"/>
        <item x="69"/>
        <item t="default"/>
      </items>
    </pivotField>
    <pivotField showAll="0"/>
    <pivotField showAll="0"/>
    <pivotField numFmtId="3" showAll="0"/>
    <pivotField axis="axisPage" dataField="1" numFmtId="9" multipleItemSelectionAllowed="1" showAll="0">
      <items count="47">
        <item h="1" x="44"/>
        <item h="1" x="30"/>
        <item h="1" x="33"/>
        <item h="1" x="38"/>
        <item h="1" x="42"/>
        <item h="1" x="5"/>
        <item h="1" x="41"/>
        <item h="1" x="34"/>
        <item h="1" x="40"/>
        <item h="1" x="21"/>
        <item h="1" x="16"/>
        <item h="1" x="9"/>
        <item h="1" x="43"/>
        <item h="1" x="32"/>
        <item h="1" x="19"/>
        <item h="1" x="6"/>
        <item h="1" x="2"/>
        <item h="1" x="4"/>
        <item h="1" x="26"/>
        <item h="1" x="36"/>
        <item h="1" x="23"/>
        <item h="1" x="22"/>
        <item h="1" x="12"/>
        <item h="1" x="10"/>
        <item h="1" x="18"/>
        <item h="1" x="39"/>
        <item h="1" x="3"/>
        <item h="1" x="0"/>
        <item h="1" x="35"/>
        <item h="1" x="27"/>
        <item h="1" x="28"/>
        <item h="1" x="11"/>
        <item h="1" x="37"/>
        <item h="1" x="8"/>
        <item h="1" x="14"/>
        <item h="1" x="1"/>
        <item h="1" x="25"/>
        <item h="1" x="15"/>
        <item h="1" x="29"/>
        <item h="1" x="13"/>
        <item h="1" x="24"/>
        <item h="1" x="17"/>
        <item x="20"/>
        <item x="7"/>
        <item x="31"/>
        <item x="45"/>
        <item t="default"/>
      </items>
    </pivotField>
    <pivotField showAll="0"/>
    <pivotField showAll="0"/>
    <pivotField showAll="0"/>
    <pivotField showAll="0"/>
  </pivotFields>
  <rowFields count="1">
    <field x="0"/>
  </rowFields>
  <rowItems count="8">
    <i>
      <x v="30"/>
    </i>
    <i>
      <x v="31"/>
    </i>
    <i>
      <x v="53"/>
    </i>
    <i>
      <x v="67"/>
    </i>
    <i>
      <x v="70"/>
    </i>
    <i>
      <x v="84"/>
    </i>
    <i>
      <x v="99"/>
    </i>
    <i t="grand">
      <x/>
    </i>
  </rowItems>
  <colItems count="1">
    <i/>
  </colItems>
  <pageFields count="1">
    <pageField fld="4" hier="-1"/>
  </pageFields>
  <dataFields count="1">
    <dataField name="Product of Discount" fld="4" subtotal="product"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61FBD78-F42E-4A12-A2D3-5DD3C152723A}"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5:B23" firstHeaderRow="1" firstDataRow="1" firstDataCol="1" rowPageCount="1" colPageCount="1"/>
  <pivotFields count="9">
    <pivotField axis="axisRow" showAll="0">
      <items count="110">
        <item x="38"/>
        <item x="11"/>
        <item x="0"/>
        <item x="27"/>
        <item x="31"/>
        <item x="60"/>
        <item x="56"/>
        <item x="9"/>
        <item x="6"/>
        <item x="101"/>
        <item x="79"/>
        <item x="5"/>
        <item x="100"/>
        <item x="91"/>
        <item x="46"/>
        <item x="72"/>
        <item x="65"/>
        <item x="64"/>
        <item x="19"/>
        <item x="73"/>
        <item x="20"/>
        <item x="94"/>
        <item x="12"/>
        <item x="40"/>
        <item x="21"/>
        <item x="57"/>
        <item x="28"/>
        <item x="34"/>
        <item x="33"/>
        <item x="78"/>
        <item x="59"/>
        <item x="106"/>
        <item x="90"/>
        <item x="44"/>
        <item x="75"/>
        <item x="70"/>
        <item x="97"/>
        <item x="99"/>
        <item x="66"/>
        <item x="55"/>
        <item x="15"/>
        <item x="63"/>
        <item x="96"/>
        <item x="81"/>
        <item x="77"/>
        <item x="108"/>
        <item x="48"/>
        <item x="45"/>
        <item x="83"/>
        <item x="103"/>
        <item x="43"/>
        <item x="54"/>
        <item x="36"/>
        <item x="47"/>
        <item x="74"/>
        <item x="52"/>
        <item x="7"/>
        <item x="35"/>
        <item x="71"/>
        <item x="25"/>
        <item x="30"/>
        <item x="23"/>
        <item x="10"/>
        <item x="80"/>
        <item x="61"/>
        <item x="98"/>
        <item x="67"/>
        <item x="24"/>
        <item x="17"/>
        <item x="13"/>
        <item x="8"/>
        <item x="39"/>
        <item x="32"/>
        <item x="22"/>
        <item x="102"/>
        <item x="18"/>
        <item x="76"/>
        <item x="1"/>
        <item x="95"/>
        <item x="41"/>
        <item x="14"/>
        <item x="86"/>
        <item x="29"/>
        <item x="51"/>
        <item x="58"/>
        <item x="82"/>
        <item x="84"/>
        <item x="16"/>
        <item x="49"/>
        <item x="50"/>
        <item x="4"/>
        <item x="2"/>
        <item x="93"/>
        <item x="26"/>
        <item x="88"/>
        <item x="37"/>
        <item x="89"/>
        <item x="42"/>
        <item x="104"/>
        <item x="53"/>
        <item x="105"/>
        <item x="62"/>
        <item x="87"/>
        <item x="92"/>
        <item x="107"/>
        <item x="85"/>
        <item x="68"/>
        <item x="3"/>
        <item x="69"/>
        <item t="default"/>
      </items>
    </pivotField>
    <pivotField showAll="0"/>
    <pivotField showAll="0"/>
    <pivotField numFmtId="3" showAll="0"/>
    <pivotField axis="axisPage" dataField="1" numFmtId="9" multipleItemSelectionAllowed="1" showAll="0">
      <items count="47">
        <item h="1" x="44"/>
        <item h="1" x="30"/>
        <item h="1" x="33"/>
        <item h="1" x="38"/>
        <item h="1" x="42"/>
        <item h="1" x="5"/>
        <item h="1" x="41"/>
        <item h="1" x="34"/>
        <item h="1" x="40"/>
        <item h="1" x="21"/>
        <item h="1" x="16"/>
        <item h="1" x="9"/>
        <item h="1" x="43"/>
        <item h="1" x="32"/>
        <item h="1" x="19"/>
        <item h="1" x="6"/>
        <item h="1" x="2"/>
        <item h="1" x="4"/>
        <item h="1" x="26"/>
        <item h="1" x="36"/>
        <item h="1" x="23"/>
        <item h="1" x="22"/>
        <item h="1" x="12"/>
        <item h="1" x="10"/>
        <item h="1" x="18"/>
        <item h="1" x="39"/>
        <item h="1" x="3"/>
        <item h="1" x="0"/>
        <item h="1" x="35"/>
        <item h="1" x="27"/>
        <item h="1" x="28"/>
        <item h="1" x="11"/>
        <item h="1" x="37"/>
        <item h="1" x="8"/>
        <item h="1" x="14"/>
        <item h="1" x="1"/>
        <item h="1" x="25"/>
        <item h="1" x="15"/>
        <item h="1" x="29"/>
        <item h="1" x="13"/>
        <item h="1" x="24"/>
        <item h="1" x="17"/>
        <item x="20"/>
        <item x="7"/>
        <item x="31"/>
        <item x="45"/>
        <item t="default"/>
      </items>
    </pivotField>
    <pivotField showAll="0"/>
    <pivotField showAll="0"/>
    <pivotField showAll="0"/>
    <pivotField showAll="0"/>
  </pivotFields>
  <rowFields count="1">
    <field x="0"/>
  </rowFields>
  <rowItems count="8">
    <i>
      <x v="30"/>
    </i>
    <i>
      <x v="31"/>
    </i>
    <i>
      <x v="53"/>
    </i>
    <i>
      <x v="67"/>
    </i>
    <i>
      <x v="70"/>
    </i>
    <i>
      <x v="84"/>
    </i>
    <i>
      <x v="99"/>
    </i>
    <i t="grand">
      <x/>
    </i>
  </rowItems>
  <colItems count="1">
    <i/>
  </colItems>
  <pageFields count="1">
    <pageField fld="4" hier="-1"/>
  </pageFields>
  <dataFields count="1">
    <dataField name="Product of Discount" fld="4" subtotal="product"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DD30118-8A90-4CAA-A631-B5813A16AA8C}"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3:B50" firstHeaderRow="1" firstDataRow="1" firstDataCol="1"/>
  <pivotFields count="9">
    <pivotField showAll="0">
      <items count="110">
        <item x="38"/>
        <item x="11"/>
        <item x="0"/>
        <item x="27"/>
        <item x="31"/>
        <item x="60"/>
        <item x="56"/>
        <item x="9"/>
        <item x="6"/>
        <item x="101"/>
        <item x="79"/>
        <item x="5"/>
        <item x="100"/>
        <item x="91"/>
        <item x="46"/>
        <item x="72"/>
        <item x="65"/>
        <item x="64"/>
        <item x="19"/>
        <item x="73"/>
        <item x="20"/>
        <item x="94"/>
        <item x="12"/>
        <item x="40"/>
        <item x="21"/>
        <item x="57"/>
        <item x="28"/>
        <item x="34"/>
        <item x="33"/>
        <item x="78"/>
        <item x="59"/>
        <item x="106"/>
        <item x="90"/>
        <item x="44"/>
        <item x="75"/>
        <item x="70"/>
        <item x="97"/>
        <item x="99"/>
        <item x="66"/>
        <item x="55"/>
        <item x="15"/>
        <item x="63"/>
        <item x="96"/>
        <item x="81"/>
        <item x="77"/>
        <item x="108"/>
        <item x="48"/>
        <item x="45"/>
        <item x="83"/>
        <item x="103"/>
        <item x="43"/>
        <item x="54"/>
        <item x="36"/>
        <item x="47"/>
        <item x="74"/>
        <item x="52"/>
        <item x="7"/>
        <item x="35"/>
        <item x="71"/>
        <item x="25"/>
        <item x="30"/>
        <item x="23"/>
        <item x="10"/>
        <item x="80"/>
        <item x="61"/>
        <item x="98"/>
        <item x="67"/>
        <item x="24"/>
        <item x="17"/>
        <item x="13"/>
        <item x="8"/>
        <item x="39"/>
        <item x="32"/>
        <item x="22"/>
        <item x="102"/>
        <item x="18"/>
        <item x="76"/>
        <item x="1"/>
        <item x="95"/>
        <item x="41"/>
        <item x="14"/>
        <item x="86"/>
        <item x="29"/>
        <item x="51"/>
        <item x="58"/>
        <item x="82"/>
        <item x="84"/>
        <item x="16"/>
        <item x="49"/>
        <item x="50"/>
        <item x="4"/>
        <item x="2"/>
        <item x="93"/>
        <item x="26"/>
        <item x="88"/>
        <item x="37"/>
        <item x="89"/>
        <item x="42"/>
        <item x="104"/>
        <item x="53"/>
        <item x="105"/>
        <item x="62"/>
        <item x="87"/>
        <item x="92"/>
        <item x="107"/>
        <item x="85"/>
        <item x="68"/>
        <item x="3"/>
        <item x="69"/>
        <item t="default"/>
      </items>
    </pivotField>
    <pivotField showAll="0"/>
    <pivotField showAll="0"/>
    <pivotField numFmtId="3" showAll="0"/>
    <pivotField axis="axisRow" numFmtId="9" showAll="0">
      <items count="47">
        <item x="44"/>
        <item x="30"/>
        <item x="33"/>
        <item x="38"/>
        <item x="42"/>
        <item x="5"/>
        <item x="41"/>
        <item x="34"/>
        <item x="40"/>
        <item x="21"/>
        <item x="16"/>
        <item x="9"/>
        <item x="43"/>
        <item x="32"/>
        <item x="19"/>
        <item x="6"/>
        <item x="2"/>
        <item x="4"/>
        <item x="26"/>
        <item x="36"/>
        <item x="23"/>
        <item x="22"/>
        <item x="12"/>
        <item x="10"/>
        <item x="18"/>
        <item x="39"/>
        <item x="3"/>
        <item x="0"/>
        <item x="35"/>
        <item x="27"/>
        <item x="28"/>
        <item x="11"/>
        <item x="37"/>
        <item x="8"/>
        <item x="14"/>
        <item x="1"/>
        <item x="25"/>
        <item x="15"/>
        <item x="29"/>
        <item x="13"/>
        <item x="24"/>
        <item x="17"/>
        <item x="20"/>
        <item x="7"/>
        <item x="31"/>
        <item x="45"/>
        <item t="default"/>
      </items>
    </pivotField>
    <pivotField dataField="1" showAll="0"/>
    <pivotField showAll="0"/>
    <pivotField showAll="0"/>
    <pivotField showAll="0"/>
  </pivotFields>
  <rowFields count="1">
    <field x="4"/>
  </rowFields>
  <rowItems count="4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t="grand">
      <x/>
    </i>
  </rowItems>
  <colItems count="1">
    <i/>
  </colItems>
  <dataFields count="1">
    <dataField name="Sum of Review" fld="5" baseField="0" baseItem="0"/>
  </dataFields>
  <chartFormats count="2">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93BFA67-0718-4D5D-8436-9E03D2529407}"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Rating Score">
  <location ref="A3:B26" firstHeaderRow="1" firstDataRow="1" firstDataCol="1" rowPageCount="1" colPageCount="1"/>
  <pivotFields count="9">
    <pivotField showAll="0">
      <items count="110">
        <item x="38"/>
        <item x="11"/>
        <item x="0"/>
        <item x="27"/>
        <item x="31"/>
        <item x="60"/>
        <item x="56"/>
        <item x="9"/>
        <item x="6"/>
        <item x="101"/>
        <item x="79"/>
        <item x="5"/>
        <item x="100"/>
        <item x="91"/>
        <item x="46"/>
        <item x="72"/>
        <item x="65"/>
        <item x="64"/>
        <item x="19"/>
        <item x="73"/>
        <item x="20"/>
        <item x="94"/>
        <item x="12"/>
        <item x="40"/>
        <item x="21"/>
        <item x="57"/>
        <item x="28"/>
        <item x="34"/>
        <item x="33"/>
        <item x="78"/>
        <item x="59"/>
        <item x="106"/>
        <item x="90"/>
        <item x="44"/>
        <item x="75"/>
        <item x="70"/>
        <item x="97"/>
        <item x="99"/>
        <item x="66"/>
        <item x="55"/>
        <item x="15"/>
        <item x="63"/>
        <item x="96"/>
        <item x="81"/>
        <item x="77"/>
        <item x="108"/>
        <item x="48"/>
        <item x="45"/>
        <item x="83"/>
        <item x="103"/>
        <item x="43"/>
        <item x="54"/>
        <item x="36"/>
        <item x="47"/>
        <item x="74"/>
        <item x="52"/>
        <item x="7"/>
        <item x="35"/>
        <item x="71"/>
        <item x="25"/>
        <item x="30"/>
        <item x="23"/>
        <item x="10"/>
        <item x="80"/>
        <item x="61"/>
        <item x="98"/>
        <item x="67"/>
        <item x="24"/>
        <item x="17"/>
        <item x="13"/>
        <item x="8"/>
        <item x="39"/>
        <item x="32"/>
        <item x="22"/>
        <item x="102"/>
        <item x="18"/>
        <item x="76"/>
        <item x="1"/>
        <item x="95"/>
        <item x="41"/>
        <item x="14"/>
        <item x="86"/>
        <item x="29"/>
        <item x="51"/>
        <item x="58"/>
        <item x="82"/>
        <item x="84"/>
        <item x="16"/>
        <item x="49"/>
        <item x="50"/>
        <item x="4"/>
        <item x="2"/>
        <item x="93"/>
        <item x="26"/>
        <item x="88"/>
        <item x="37"/>
        <item x="89"/>
        <item x="42"/>
        <item x="104"/>
        <item x="53"/>
        <item x="105"/>
        <item x="62"/>
        <item x="87"/>
        <item x="92"/>
        <item x="107"/>
        <item x="85"/>
        <item x="68"/>
        <item x="3"/>
        <item x="69"/>
        <item t="default"/>
      </items>
    </pivotField>
    <pivotField showAll="0"/>
    <pivotField showAll="0"/>
    <pivotField numFmtId="3" showAll="0"/>
    <pivotField numFmtId="9" showAll="0"/>
    <pivotField axis="axisPage" dataField="1" multipleItemSelectionAllowed="1" showAll="0">
      <items count="25">
        <item x="18"/>
        <item x="0"/>
        <item x="11"/>
        <item x="4"/>
        <item x="9"/>
        <item x="3"/>
        <item x="10"/>
        <item x="20"/>
        <item x="7"/>
        <item x="13"/>
        <item x="1"/>
        <item x="5"/>
        <item x="22"/>
        <item x="23"/>
        <item x="16"/>
        <item x="2"/>
        <item x="17"/>
        <item x="19"/>
        <item x="8"/>
        <item x="12"/>
        <item x="15"/>
        <item x="6"/>
        <item x="21"/>
        <item h="1" x="14"/>
        <item t="default"/>
      </items>
    </pivotField>
    <pivotField axis="axisRow" multipleItemSelectionAllowed="1" showAll="0">
      <items count="24">
        <item x="22"/>
        <item x="15"/>
        <item x="19"/>
        <item x="20"/>
        <item x="13"/>
        <item x="21"/>
        <item x="17"/>
        <item x="16"/>
        <item x="18"/>
        <item x="14"/>
        <item x="9"/>
        <item x="6"/>
        <item x="5"/>
        <item x="1"/>
        <item x="7"/>
        <item x="12"/>
        <item x="11"/>
        <item x="0"/>
        <item x="2"/>
        <item x="3"/>
        <item x="4"/>
        <item x="8"/>
        <item x="10"/>
        <item t="default"/>
      </items>
    </pivotField>
    <pivotField showAll="0"/>
    <pivotField showAll="0"/>
  </pivotFields>
  <rowFields count="1">
    <field x="6"/>
  </rowFields>
  <rowItems count="23">
    <i>
      <x/>
    </i>
    <i>
      <x v="1"/>
    </i>
    <i>
      <x v="2"/>
    </i>
    <i>
      <x v="3"/>
    </i>
    <i>
      <x v="4"/>
    </i>
    <i>
      <x v="5"/>
    </i>
    <i>
      <x v="6"/>
    </i>
    <i>
      <x v="7"/>
    </i>
    <i>
      <x v="8"/>
    </i>
    <i>
      <x v="9"/>
    </i>
    <i>
      <x v="10"/>
    </i>
    <i>
      <x v="11"/>
    </i>
    <i>
      <x v="12"/>
    </i>
    <i>
      <x v="13"/>
    </i>
    <i>
      <x v="14"/>
    </i>
    <i>
      <x v="15"/>
    </i>
    <i>
      <x v="16"/>
    </i>
    <i>
      <x v="17"/>
    </i>
    <i>
      <x v="18"/>
    </i>
    <i>
      <x v="19"/>
    </i>
    <i>
      <x v="20"/>
    </i>
    <i>
      <x v="21"/>
    </i>
    <i t="grand">
      <x/>
    </i>
  </rowItems>
  <colItems count="1">
    <i/>
  </colItems>
  <pageFields count="1">
    <pageField fld="5" hier="-1"/>
  </pageFields>
  <dataFields count="1">
    <dataField name="No of Reviews" fld="5" baseField="6"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749508C-B282-4572-885E-0A40D93A0995}"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A3:B8" firstHeaderRow="1" firstDataRow="1" firstDataCol="1"/>
  <pivotFields count="9">
    <pivotField dataField="1" showAll="0">
      <items count="110">
        <item x="38"/>
        <item x="11"/>
        <item x="0"/>
        <item x="27"/>
        <item x="31"/>
        <item x="60"/>
        <item x="56"/>
        <item x="9"/>
        <item x="6"/>
        <item x="101"/>
        <item x="79"/>
        <item x="5"/>
        <item x="100"/>
        <item x="91"/>
        <item x="46"/>
        <item x="72"/>
        <item x="65"/>
        <item x="64"/>
        <item x="19"/>
        <item x="73"/>
        <item x="20"/>
        <item x="94"/>
        <item x="12"/>
        <item x="40"/>
        <item x="21"/>
        <item x="57"/>
        <item x="28"/>
        <item x="34"/>
        <item x="33"/>
        <item x="78"/>
        <item x="59"/>
        <item x="106"/>
        <item x="90"/>
        <item x="44"/>
        <item x="75"/>
        <item x="70"/>
        <item x="97"/>
        <item x="99"/>
        <item x="66"/>
        <item x="55"/>
        <item x="15"/>
        <item x="63"/>
        <item x="96"/>
        <item x="81"/>
        <item x="77"/>
        <item x="108"/>
        <item x="48"/>
        <item x="45"/>
        <item x="83"/>
        <item x="103"/>
        <item x="43"/>
        <item x="54"/>
        <item x="36"/>
        <item x="47"/>
        <item x="74"/>
        <item x="52"/>
        <item x="7"/>
        <item x="35"/>
        <item x="71"/>
        <item x="25"/>
        <item x="30"/>
        <item x="23"/>
        <item x="10"/>
        <item x="80"/>
        <item x="61"/>
        <item x="98"/>
        <item x="67"/>
        <item x="24"/>
        <item x="17"/>
        <item x="13"/>
        <item x="8"/>
        <item x="39"/>
        <item x="32"/>
        <item x="22"/>
        <item x="102"/>
        <item x="18"/>
        <item x="76"/>
        <item x="1"/>
        <item x="95"/>
        <item x="41"/>
        <item x="14"/>
        <item x="86"/>
        <item x="29"/>
        <item x="51"/>
        <item x="58"/>
        <item x="82"/>
        <item x="84"/>
        <item x="16"/>
        <item x="49"/>
        <item x="50"/>
        <item x="4"/>
        <item x="2"/>
        <item x="93"/>
        <item x="26"/>
        <item x="88"/>
        <item x="37"/>
        <item x="89"/>
        <item x="42"/>
        <item x="104"/>
        <item x="53"/>
        <item x="105"/>
        <item x="62"/>
        <item x="87"/>
        <item x="92"/>
        <item x="107"/>
        <item x="85"/>
        <item x="68"/>
        <item x="3"/>
        <item x="69"/>
        <item t="default"/>
      </items>
    </pivotField>
    <pivotField showAll="0"/>
    <pivotField showAll="0"/>
    <pivotField numFmtId="3" showAll="0"/>
    <pivotField numFmtId="9" showAll="0"/>
    <pivotField showAll="0"/>
    <pivotField showAll="0"/>
    <pivotField axis="axisRow" showAll="0">
      <items count="5">
        <item x="1"/>
        <item x="0"/>
        <item x="3"/>
        <item x="2"/>
        <item t="default"/>
      </items>
    </pivotField>
    <pivotField showAll="0"/>
  </pivotFields>
  <rowFields count="1">
    <field x="7"/>
  </rowFields>
  <rowItems count="5">
    <i>
      <x/>
    </i>
    <i>
      <x v="1"/>
    </i>
    <i>
      <x v="2"/>
    </i>
    <i>
      <x v="3"/>
    </i>
    <i t="grand">
      <x/>
    </i>
  </rowItems>
  <colItems count="1">
    <i/>
  </colItems>
  <dataFields count="1">
    <dataField name="Count of Product" fld="0" subtotal="count" baseField="0" baseItem="0"/>
  </dataFields>
  <chartFormats count="4">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F2678B1-D593-4E55-899B-77F031835C82}"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F8" firstHeaderRow="1" firstDataRow="2" firstDataCol="1"/>
  <pivotFields count="9">
    <pivotField dataField="1" showAll="0">
      <items count="110">
        <item x="38"/>
        <item x="11"/>
        <item x="0"/>
        <item x="27"/>
        <item x="31"/>
        <item x="60"/>
        <item x="56"/>
        <item x="9"/>
        <item x="6"/>
        <item x="101"/>
        <item x="79"/>
        <item x="5"/>
        <item x="100"/>
        <item x="91"/>
        <item x="46"/>
        <item x="72"/>
        <item x="65"/>
        <item x="64"/>
        <item x="19"/>
        <item x="73"/>
        <item x="20"/>
        <item x="94"/>
        <item x="12"/>
        <item x="40"/>
        <item x="21"/>
        <item x="57"/>
        <item x="28"/>
        <item x="34"/>
        <item x="33"/>
        <item x="78"/>
        <item x="59"/>
        <item x="106"/>
        <item x="90"/>
        <item x="44"/>
        <item x="75"/>
        <item x="70"/>
        <item x="97"/>
        <item x="99"/>
        <item x="66"/>
        <item x="55"/>
        <item x="15"/>
        <item x="63"/>
        <item x="96"/>
        <item x="81"/>
        <item x="77"/>
        <item x="108"/>
        <item x="48"/>
        <item x="45"/>
        <item x="83"/>
        <item x="103"/>
        <item x="43"/>
        <item x="54"/>
        <item x="36"/>
        <item x="47"/>
        <item x="74"/>
        <item x="52"/>
        <item x="7"/>
        <item x="35"/>
        <item x="71"/>
        <item x="25"/>
        <item x="30"/>
        <item x="23"/>
        <item x="10"/>
        <item x="80"/>
        <item x="61"/>
        <item x="98"/>
        <item x="67"/>
        <item x="24"/>
        <item x="17"/>
        <item x="13"/>
        <item x="8"/>
        <item x="39"/>
        <item x="32"/>
        <item x="22"/>
        <item x="102"/>
        <item x="18"/>
        <item x="76"/>
        <item x="1"/>
        <item x="95"/>
        <item x="41"/>
        <item x="14"/>
        <item x="86"/>
        <item x="29"/>
        <item x="51"/>
        <item x="58"/>
        <item x="82"/>
        <item x="84"/>
        <item x="16"/>
        <item x="49"/>
        <item x="50"/>
        <item x="4"/>
        <item x="2"/>
        <item x="93"/>
        <item x="26"/>
        <item x="88"/>
        <item x="37"/>
        <item x="89"/>
        <item x="42"/>
        <item x="104"/>
        <item x="53"/>
        <item x="105"/>
        <item x="62"/>
        <item x="87"/>
        <item x="92"/>
        <item x="107"/>
        <item x="85"/>
        <item x="68"/>
        <item x="3"/>
        <item x="69"/>
        <item t="default"/>
      </items>
    </pivotField>
    <pivotField showAll="0"/>
    <pivotField showAll="0"/>
    <pivotField numFmtId="3" showAll="0"/>
    <pivotField numFmtId="9" showAll="0"/>
    <pivotField showAll="0"/>
    <pivotField showAll="0"/>
    <pivotField axis="axisCol" showAll="0">
      <items count="5">
        <item x="1"/>
        <item x="0"/>
        <item x="3"/>
        <item x="2"/>
        <item t="default"/>
      </items>
    </pivotField>
    <pivotField axis="axisRow" showAll="0">
      <items count="4">
        <item x="1"/>
        <item x="2"/>
        <item x="0"/>
        <item t="default"/>
      </items>
    </pivotField>
  </pivotFields>
  <rowFields count="1">
    <field x="8"/>
  </rowFields>
  <rowItems count="4">
    <i>
      <x/>
    </i>
    <i>
      <x v="1"/>
    </i>
    <i>
      <x v="2"/>
    </i>
    <i t="grand">
      <x/>
    </i>
  </rowItems>
  <colFields count="1">
    <field x="7"/>
  </colFields>
  <colItems count="5">
    <i>
      <x/>
    </i>
    <i>
      <x v="1"/>
    </i>
    <i>
      <x v="2"/>
    </i>
    <i>
      <x v="3"/>
    </i>
    <i t="grand">
      <x/>
    </i>
  </colItems>
  <dataFields count="1">
    <dataField name="Count of Product" fld="0" subtotal="count" baseField="0" baseItem="0"/>
  </dataFields>
  <chartFormats count="10">
    <chartFormat chart="0" format="0" series="1">
      <pivotArea type="data" outline="0" fieldPosition="0">
        <references count="2">
          <reference field="4294967294" count="1" selected="0">
            <x v="0"/>
          </reference>
          <reference field="7" count="1" selected="0">
            <x v="0"/>
          </reference>
        </references>
      </pivotArea>
    </chartFormat>
    <chartFormat chart="0" format="1" series="1">
      <pivotArea type="data" outline="0" fieldPosition="0">
        <references count="2">
          <reference field="4294967294" count="1" selected="0">
            <x v="0"/>
          </reference>
          <reference field="7" count="1" selected="0">
            <x v="1"/>
          </reference>
        </references>
      </pivotArea>
    </chartFormat>
    <chartFormat chart="0" format="2" series="1">
      <pivotArea type="data" outline="0" fieldPosition="0">
        <references count="2">
          <reference field="4294967294" count="1" selected="0">
            <x v="0"/>
          </reference>
          <reference field="7" count="1" selected="0">
            <x v="2"/>
          </reference>
        </references>
      </pivotArea>
    </chartFormat>
    <chartFormat chart="0" format="3" series="1">
      <pivotArea type="data" outline="0" fieldPosition="0">
        <references count="2">
          <reference field="4294967294" count="1" selected="0">
            <x v="0"/>
          </reference>
          <reference field="7" count="1" selected="0">
            <x v="3"/>
          </reference>
        </references>
      </pivotArea>
    </chartFormat>
    <chartFormat chart="2" format="8" series="1">
      <pivotArea type="data" outline="0" fieldPosition="0">
        <references count="2">
          <reference field="4294967294" count="1" selected="0">
            <x v="0"/>
          </reference>
          <reference field="7" count="1" selected="0">
            <x v="0"/>
          </reference>
        </references>
      </pivotArea>
    </chartFormat>
    <chartFormat chart="2" format="9" series="1">
      <pivotArea type="data" outline="0" fieldPosition="0">
        <references count="2">
          <reference field="4294967294" count="1" selected="0">
            <x v="0"/>
          </reference>
          <reference field="7" count="1" selected="0">
            <x v="1"/>
          </reference>
        </references>
      </pivotArea>
    </chartFormat>
    <chartFormat chart="2" format="10" series="1">
      <pivotArea type="data" outline="0" fieldPosition="0">
        <references count="2">
          <reference field="4294967294" count="1" selected="0">
            <x v="0"/>
          </reference>
          <reference field="7" count="1" selected="0">
            <x v="2"/>
          </reference>
        </references>
      </pivotArea>
    </chartFormat>
    <chartFormat chart="2" format="11" series="1">
      <pivotArea type="data" outline="0" fieldPosition="0">
        <references count="2">
          <reference field="4294967294" count="1" selected="0">
            <x v="0"/>
          </reference>
          <reference field="7" count="1" selected="0">
            <x v="3"/>
          </reference>
        </references>
      </pivotArea>
    </chartFormat>
    <chartFormat chart="0" format="4"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14B799B3-89E1-4DC2-8796-3644BA286EC0}" sourceName="Product">
  <pivotTables>
    <pivotTable tabId="12" name="PivotTable4"/>
    <pivotTable tabId="13" name="PivotTable5"/>
    <pivotTable tabId="13" name="PivotTable6"/>
    <pivotTable tabId="14" name="PivotTable7"/>
    <pivotTable tabId="15" name="PivotTable8"/>
    <pivotTable tabId="16" name="PivotTable9"/>
    <pivotTable tabId="19" name="PivotTable11"/>
  </pivotTables>
  <data>
    <tabular pivotCacheId="638056616">
      <items count="109">
        <i x="38" s="1"/>
        <i x="11" s="1"/>
        <i x="0" s="1"/>
        <i x="27" s="1"/>
        <i x="31" s="1"/>
        <i x="60" s="1"/>
        <i x="56" s="1"/>
        <i x="9" s="1"/>
        <i x="6" s="1"/>
        <i x="101" s="1"/>
        <i x="79" s="1"/>
        <i x="5" s="1"/>
        <i x="100" s="1"/>
        <i x="91" s="1"/>
        <i x="46" s="1"/>
        <i x="72" s="1"/>
        <i x="65" s="1"/>
        <i x="64" s="1"/>
        <i x="19" s="1"/>
        <i x="73" s="1"/>
        <i x="20" s="1"/>
        <i x="94" s="1"/>
        <i x="12" s="1"/>
        <i x="40" s="1"/>
        <i x="21" s="1"/>
        <i x="57" s="1"/>
        <i x="28" s="1"/>
        <i x="34" s="1"/>
        <i x="33" s="1"/>
        <i x="78" s="1"/>
        <i x="59" s="1"/>
        <i x="106" s="1"/>
        <i x="90" s="1"/>
        <i x="44" s="1"/>
        <i x="75" s="1"/>
        <i x="70" s="1"/>
        <i x="97" s="1"/>
        <i x="99" s="1"/>
        <i x="66" s="1"/>
        <i x="55" s="1"/>
        <i x="15" s="1"/>
        <i x="63" s="1"/>
        <i x="96" s="1"/>
        <i x="81" s="1"/>
        <i x="77" s="1"/>
        <i x="108" s="1"/>
        <i x="48" s="1"/>
        <i x="45" s="1"/>
        <i x="83" s="1"/>
        <i x="103" s="1"/>
        <i x="43" s="1"/>
        <i x="54" s="1"/>
        <i x="36" s="1"/>
        <i x="47" s="1"/>
        <i x="74" s="1"/>
        <i x="52" s="1"/>
        <i x="7" s="1"/>
        <i x="35" s="1"/>
        <i x="71" s="1"/>
        <i x="25" s="1"/>
        <i x="30" s="1"/>
        <i x="23" s="1"/>
        <i x="10" s="1"/>
        <i x="80" s="1"/>
        <i x="61" s="1"/>
        <i x="98" s="1"/>
        <i x="67" s="1"/>
        <i x="24" s="1"/>
        <i x="17" s="1"/>
        <i x="13" s="1"/>
        <i x="8" s="1"/>
        <i x="39" s="1"/>
        <i x="32" s="1"/>
        <i x="22" s="1"/>
        <i x="102" s="1"/>
        <i x="18" s="1"/>
        <i x="76" s="1"/>
        <i x="1" s="1"/>
        <i x="95" s="1"/>
        <i x="41" s="1"/>
        <i x="14" s="1"/>
        <i x="86" s="1"/>
        <i x="29" s="1"/>
        <i x="51" s="1"/>
        <i x="58" s="1"/>
        <i x="82" s="1"/>
        <i x="84" s="1"/>
        <i x="16" s="1"/>
        <i x="49" s="1"/>
        <i x="50" s="1"/>
        <i x="4" s="1"/>
        <i x="2" s="1"/>
        <i x="93" s="1"/>
        <i x="26" s="1"/>
        <i x="88" s="1"/>
        <i x="37" s="1"/>
        <i x="89" s="1"/>
        <i x="42" s="1"/>
        <i x="104" s="1"/>
        <i x="53" s="1"/>
        <i x="105" s="1"/>
        <i x="62" s="1"/>
        <i x="87" s="1"/>
        <i x="92" s="1"/>
        <i x="107" s="1"/>
        <i x="85" s="1"/>
        <i x="68" s="1"/>
        <i x="3" s="1"/>
        <i x="6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 xr10:uid="{9038F544-BCB2-4B25-AA80-CE1BBB915B1A}" sourceName="Rating">
  <pivotTables>
    <pivotTable tabId="4" name="PivotTable1"/>
  </pivotTables>
  <data>
    <tabular pivotCacheId="638056616">
      <items count="23">
        <i x="22" s="1"/>
        <i x="15" s="1"/>
        <i x="19" s="1"/>
        <i x="20" s="1"/>
        <i x="13" s="1"/>
        <i x="21" s="1"/>
        <i x="17" s="1"/>
        <i x="16" s="1"/>
        <i x="18" s="1"/>
        <i x="14" s="1"/>
        <i x="9" s="1"/>
        <i x="6" s="1"/>
        <i x="5" s="1"/>
        <i x="1" s="1"/>
        <i x="7" s="1"/>
        <i x="12" s="1"/>
        <i x="11" s="1"/>
        <i x="0" s="1"/>
        <i x="2" s="1"/>
        <i x="3" s="1"/>
        <i x="4" s="1"/>
        <i x="8" s="1"/>
        <i x="10"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4BEB0A87-C3BA-43BA-BBF9-72F0FC59A10D}" sourceName="Rating category">
  <pivotTables>
    <pivotTable tabId="19" name="PivotTable11"/>
    <pivotTable tabId="16" name="PivotTable9"/>
  </pivotTables>
  <data>
    <tabular pivotCacheId="638056616">
      <items count="4">
        <i x="1" s="1"/>
        <i x="0"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133814F7-5785-4D72-B4C8-6C3432FBD261}" sourceName="Discount category">
  <pivotTables>
    <pivotTable tabId="19" name="PivotTable11"/>
  </pivotTables>
  <data>
    <tabular pivotCacheId="638056616">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3A5ECB65-2612-42A7-992F-564EFC2E0065}" cache="Slicer_Product" caption="Product" startItem="2" rowHeight="234950"/>
  <slicer name="Rating category" xr10:uid="{802F4DE5-70E5-47D6-B37B-895CB092CE92}" cache="Slicer_Rating_category" caption="Rating category" rowHeight="234950"/>
  <slicer name="Discount category" xr10:uid="{4900E8C9-4577-4CD3-9009-6386BDDBBB11}" cache="Slicer_Discount_category" caption="Discount 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3F14279C-E623-450A-8696-FE38505DF38E}" cache="Slicer_Product" caption="Product" rowHeight="234950"/>
  <slicer name="Rating" xr10:uid="{64DC5CF9-2A70-4CC5-80DD-ED7793CC0343}" cache="Slicer_Rating" caption="Rating"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1A39B2-9591-48A4-BFC2-00B12CD9AC55}" name="Table1" displayName="Table1" ref="A1:I113" totalsRowShown="0" headerRowDxfId="60">
  <autoFilter ref="A1:I113" xr:uid="{791A39B2-9591-48A4-BFC2-00B12CD9AC55}"/>
  <tableColumns count="9">
    <tableColumn id="1" xr3:uid="{C1B3430E-6829-4243-89BB-250EA2D249B7}" name="Product"/>
    <tableColumn id="2" xr3:uid="{2113FD40-B298-47FA-8EB9-7C2DD7D71623}" name="Current price"/>
    <tableColumn id="3" xr3:uid="{F55D0FCE-3BA2-409F-97D4-DF0BD4BBD51E}" name="old price"/>
    <tableColumn id="4" xr3:uid="{5227D22B-FA97-4A0D-BD13-66B0671BDE98}" name="Discount Amount" dataDxfId="59">
      <calculatedColumnFormula>C2-B2</calculatedColumnFormula>
    </tableColumn>
    <tableColumn id="5" xr3:uid="{E899A091-36C8-43FD-90A4-F485D6E4153C}" name="Discount" dataDxfId="58"/>
    <tableColumn id="6" xr3:uid="{9FE28D7C-14AA-46E0-9A35-C597D1BD4C0C}" name="Review"/>
    <tableColumn id="7" xr3:uid="{3BB3D7AF-E3E5-482E-816B-1FC3B011D020}" name="Rating"/>
    <tableColumn id="8" xr3:uid="{2DDDACBD-7F7B-4B75-9058-050AB02314A3}" name="Rating category">
      <calculatedColumnFormula array="1">_xlfn.IFS(G2="","Unknown",G2&lt;3,"Poor rating",G2&lt;=4.4,"Average Rating",G2&gt;4.4,"Excellent Rating")</calculatedColumnFormula>
    </tableColumn>
    <tableColumn id="9" xr3:uid="{860395FF-8175-4086-B577-4D2F5F606EA7}" name="Discount category">
      <calculatedColumnFormula array="1">_xlfn.IFS(E2&lt;20%,"Low Discount",E2&lt;=40%,"Medium Discount",E2&gt;40%,"High Discount")</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AF70F32-2784-4D03-A445-3F803E6B9E4F}" name="Table7" displayName="Table7" ref="A1:B5" totalsRowShown="0" headerRowDxfId="0" headerRowBorderDxfId="3" tableBorderDxfId="4" totalsRowBorderDxfId="2">
  <autoFilter ref="A1:B5" xr:uid="{4AF70F32-2784-4D03-A445-3F803E6B9E4F}"/>
  <tableColumns count="2">
    <tableColumn id="1" xr3:uid="{F1B61158-34DF-4BE6-BE98-63BCFEF5ED39}" name="Average" dataDxfId="1"/>
    <tableColumn id="2" xr3:uid="{F21806AC-8FE3-492C-ABEA-E91E70B8D21B}" name="Valu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235447D-D3C6-4AC8-8F6D-1982AB5BD19A}" name="Table2" displayName="Table2" ref="A2:I13" totalsRowShown="0" headerRowDxfId="50" headerRowBorderDxfId="56" tableBorderDxfId="57">
  <autoFilter ref="A2:I13" xr:uid="{0235447D-D3C6-4AC8-8F6D-1982AB5BD19A}"/>
  <tableColumns count="9">
    <tableColumn id="1" xr3:uid="{DB88681F-6663-494C-8607-E598AC7F0504}" name="Product" dataDxfId="55"/>
    <tableColumn id="2" xr3:uid="{D4C608BC-E7B5-45F2-BA78-09E99E5D0EA0}" name="Current price"/>
    <tableColumn id="3" xr3:uid="{CF1EA930-22F5-409D-98EE-56134C257992}" name="old price"/>
    <tableColumn id="4" xr3:uid="{F101BF8C-2CDE-45F3-A6E1-2FAB9844312A}" name="Discount Amount" dataDxfId="54"/>
    <tableColumn id="5" xr3:uid="{1CE32927-AC2A-4498-8065-BAF0C4E4947D}" name="Discount" dataDxfId="53"/>
    <tableColumn id="6" xr3:uid="{CF55342E-1895-4AFB-802A-A55CC4BDB0F8}" name="Review" dataDxfId="52"/>
    <tableColumn id="7" xr3:uid="{C3F3DAEA-5C0D-42F7-A35B-9A5697A54182}" name="Rating" dataDxfId="51"/>
    <tableColumn id="8" xr3:uid="{80A2777C-B9D9-43FC-BF3B-E5336B32F492}" name="Rating category"/>
    <tableColumn id="9" xr3:uid="{5E98F889-BBC8-405D-8700-709079D8DA3B}" name="Discount category"/>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6E25327-D11A-40B8-A78D-D789AB4602C4}" name="Table3" displayName="Table3" ref="A15:I26" totalsRowShown="0" headerRowDxfId="37" headerRowBorderDxfId="48" tableBorderDxfId="49" totalsRowBorderDxfId="47">
  <autoFilter ref="A15:I26" xr:uid="{06E25327-D11A-40B8-A78D-D789AB4602C4}"/>
  <tableColumns count="9">
    <tableColumn id="1" xr3:uid="{D7F57BE4-D841-4D26-BDDA-6C7DAE257808}" name="Product" dataDxfId="46"/>
    <tableColumn id="2" xr3:uid="{6238F0AB-8157-4278-ABFE-7076B2AD102D}" name="Current price" dataDxfId="45"/>
    <tableColumn id="3" xr3:uid="{F200CC52-B156-4C92-9E67-CC422BF172B6}" name="old price" dataDxfId="44"/>
    <tableColumn id="4" xr3:uid="{E5DD06B1-06EF-4543-8426-2E06E0AFF3B9}" name="Discount Amount" dataDxfId="43"/>
    <tableColumn id="5" xr3:uid="{E48FF84B-3681-49FB-A3E7-ABF244B54CD2}" name="Discount" dataDxfId="42"/>
    <tableColumn id="6" xr3:uid="{DFC1186A-A08B-4FFE-96C5-0FF5EB6DCAB5}" name="Review" dataDxfId="41"/>
    <tableColumn id="7" xr3:uid="{8028A90C-C06C-42E8-A81F-BB7D815520A2}" name="Rating" dataDxfId="40"/>
    <tableColumn id="8" xr3:uid="{19705979-1FE2-4CDF-8C12-E6503684B287}" name="Rating category" dataDxfId="39"/>
    <tableColumn id="9" xr3:uid="{D47E2DB6-1F9C-4273-9B61-DD9470B39175}" name="Discount category" dataDxfId="38"/>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A368CB9-6A79-4ECC-80B4-931560AE9D1B}" name="Table4" displayName="Table4" ref="A29:I35" totalsRowShown="0" headerRowDxfId="24" headerRowBorderDxfId="35" tableBorderDxfId="36" totalsRowBorderDxfId="34">
  <autoFilter ref="A29:I35" xr:uid="{9A368CB9-6A79-4ECC-80B4-931560AE9D1B}"/>
  <tableColumns count="9">
    <tableColumn id="1" xr3:uid="{46C157A4-727E-4BAE-ADA3-C26C6D4EB763}" name="Product" dataDxfId="33"/>
    <tableColumn id="2" xr3:uid="{B4C53A9E-F501-4D69-8E38-539C6929DD50}" name="Current price" dataDxfId="32"/>
    <tableColumn id="3" xr3:uid="{6E89193F-51B1-43BC-8510-18022096C5E1}" name="old price" dataDxfId="31"/>
    <tableColumn id="4" xr3:uid="{E999D072-0456-4EA3-88DF-78BCCE4CB9B7}" name="Discount Amount" dataDxfId="30"/>
    <tableColumn id="5" xr3:uid="{B5CD7B65-2B31-4FD3-B216-A956D4E1B8C4}" name="Discount" dataDxfId="29"/>
    <tableColumn id="6" xr3:uid="{EBC6B701-E769-44EF-8EA5-0B61E1819406}" name="Review" dataDxfId="28"/>
    <tableColumn id="7" xr3:uid="{F3095B71-F61D-4313-9194-4521D83B0BF1}" name="Rating" dataDxfId="27"/>
    <tableColumn id="8" xr3:uid="{BB77921E-EFD8-4B31-B376-4C9790BCCBA9}" name="Rating category" dataDxfId="26"/>
    <tableColumn id="9" xr3:uid="{F2F5D57D-35EA-41F3-9AE5-FC3DBC53AD60}" name="Discount category" dataDxfId="25"/>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A8BF69B-9245-41EF-9137-852ECA121127}" name="Table5" displayName="Table5" ref="A38:I43" totalsRowShown="0" headerRowDxfId="11" headerRowBorderDxfId="22" tableBorderDxfId="23" totalsRowBorderDxfId="21">
  <autoFilter ref="A38:I43" xr:uid="{4A8BF69B-9245-41EF-9137-852ECA121127}"/>
  <tableColumns count="9">
    <tableColumn id="1" xr3:uid="{68C038DD-7B42-4339-943F-0010C438C4E9}" name="Product" dataDxfId="20"/>
    <tableColumn id="2" xr3:uid="{E0934982-AD9D-4970-9540-184C9D63BD57}" name="Current price" dataDxfId="19"/>
    <tableColumn id="3" xr3:uid="{9CBD71E1-AF76-41F1-B13F-7E703A164F04}" name="old price" dataDxfId="18"/>
    <tableColumn id="4" xr3:uid="{4706787E-69FD-4F4E-962E-BE0415A0BD9F}" name="Discount Amount" dataDxfId="17"/>
    <tableColumn id="5" xr3:uid="{F2F76FB0-996A-43AA-8010-60A100EF4BE0}" name="Discount" dataDxfId="16"/>
    <tableColumn id="6" xr3:uid="{E4099141-082B-454B-88CB-5674A7FD5249}" name="Review" dataDxfId="15"/>
    <tableColumn id="7" xr3:uid="{20D4A8AC-0F99-40DC-A583-150535A8E2AB}" name="Rating" dataDxfId="14"/>
    <tableColumn id="8" xr3:uid="{2FD61A6F-7248-41DA-802B-A8EE2EC6FD63}" name="Rating category" dataDxfId="13"/>
    <tableColumn id="9" xr3:uid="{C4A1D6E9-9C85-4AD8-AC55-666ADCD2C474}" name="Discount category" dataDxfId="12"/>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358A366-BD52-4C54-B451-A708BE627A5F}" name="Table6" displayName="Table6" ref="A45:C48" totalsRowShown="0" headerRowDxfId="5" headerRowBorderDxfId="9" tableBorderDxfId="10" totalsRowBorderDxfId="8">
  <autoFilter ref="A45:C48" xr:uid="{D358A366-BD52-4C54-B451-A708BE627A5F}"/>
  <tableColumns count="3">
    <tableColumn id="1" xr3:uid="{099156D6-C27A-439B-87A1-F2E7A9DBA1E1}" name="Comparison Of High and Low Discount Vs Average rating and No of Reviews" dataDxfId="7"/>
    <tableColumn id="2" xr3:uid="{B1022E9C-5635-4FD1-A588-33B108EC92EC}" name="Column1"/>
    <tableColumn id="3" xr3:uid="{B1A3D816-7AD9-4377-90D6-168DA4D24B7D}" name="Column2" dataDxfId="6"/>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printerSettings" Target="../printerSettings/printerSettings4.bin"/><Relationship Id="rId6" Type="http://schemas.openxmlformats.org/officeDocument/2006/relationships/table" Target="../tables/table7.xml"/><Relationship Id="rId5" Type="http://schemas.openxmlformats.org/officeDocument/2006/relationships/table" Target="../tables/table6.xml"/><Relationship Id="rId4"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FAB0B-DE23-4DF2-B69F-07B861593CFD}">
  <dimension ref="A1:X49"/>
  <sheetViews>
    <sheetView showGridLines="0" zoomScale="62" zoomScaleNormal="62" workbookViewId="0">
      <selection activeCell="P39" sqref="P39"/>
    </sheetView>
  </sheetViews>
  <sheetFormatPr defaultRowHeight="14.4" x14ac:dyDescent="0.3"/>
  <cols>
    <col min="6" max="6" width="63.77734375" bestFit="1" customWidth="1"/>
    <col min="7" max="7" width="6.109375" bestFit="1" customWidth="1"/>
    <col min="8" max="8" width="8.88671875" customWidth="1"/>
    <col min="9" max="9" width="61" bestFit="1" customWidth="1"/>
    <col min="10" max="10" width="8.109375" customWidth="1"/>
    <col min="12" max="12" width="68.88671875" bestFit="1" customWidth="1"/>
    <col min="13" max="13" width="9.88671875" customWidth="1"/>
  </cols>
  <sheetData>
    <row r="1" spans="1:24" x14ac:dyDescent="0.3">
      <c r="A1" s="12"/>
      <c r="B1" s="12"/>
      <c r="C1" s="12"/>
      <c r="D1" s="12"/>
      <c r="E1" s="12"/>
      <c r="F1" s="12"/>
      <c r="G1" s="12"/>
      <c r="H1" s="12"/>
      <c r="I1" s="12"/>
      <c r="J1" s="12"/>
      <c r="K1" s="12"/>
      <c r="L1" s="12"/>
      <c r="M1" s="12"/>
      <c r="N1" s="12"/>
      <c r="O1" s="8"/>
      <c r="P1" s="8"/>
      <c r="Q1" s="8"/>
      <c r="R1" s="8"/>
      <c r="S1" s="8"/>
      <c r="T1" s="8"/>
      <c r="U1" s="8"/>
      <c r="V1" s="8"/>
      <c r="W1" s="8"/>
      <c r="X1" s="8"/>
    </row>
    <row r="2" spans="1:24" x14ac:dyDescent="0.3">
      <c r="A2" s="12"/>
      <c r="B2" s="12"/>
      <c r="C2" s="12"/>
      <c r="D2" s="12"/>
      <c r="E2" s="12"/>
      <c r="F2" s="12"/>
      <c r="G2" s="12"/>
      <c r="H2" s="12"/>
      <c r="I2" s="12"/>
      <c r="J2" s="12"/>
      <c r="K2" s="12"/>
      <c r="L2" s="12"/>
      <c r="M2" s="12"/>
      <c r="N2" s="12"/>
      <c r="O2" s="8"/>
      <c r="P2" s="8"/>
      <c r="Q2" s="8"/>
      <c r="R2" s="8"/>
      <c r="S2" s="8"/>
      <c r="T2" s="8"/>
      <c r="U2" s="8"/>
      <c r="V2" s="8"/>
      <c r="W2" s="8"/>
      <c r="X2" s="8"/>
    </row>
    <row r="3" spans="1:24" x14ac:dyDescent="0.3">
      <c r="A3" s="12"/>
      <c r="B3" s="12"/>
      <c r="C3" s="12"/>
      <c r="D3" s="12"/>
      <c r="E3" s="12"/>
      <c r="F3" s="12"/>
      <c r="G3" s="12"/>
      <c r="H3" s="12"/>
      <c r="I3" s="12"/>
      <c r="J3" s="12"/>
      <c r="K3" s="12"/>
      <c r="L3" s="12"/>
      <c r="M3" s="12"/>
      <c r="N3" s="12"/>
      <c r="O3" s="8"/>
      <c r="P3" s="8"/>
      <c r="Q3" s="8"/>
      <c r="R3" s="8"/>
      <c r="S3" s="8"/>
      <c r="T3" s="8"/>
      <c r="U3" s="8"/>
      <c r="V3" s="8"/>
      <c r="W3" s="8"/>
      <c r="X3" s="8"/>
    </row>
    <row r="4" spans="1:24" x14ac:dyDescent="0.3">
      <c r="A4" s="12"/>
      <c r="B4" s="12"/>
      <c r="C4" s="12"/>
      <c r="D4" s="12"/>
      <c r="E4" s="12"/>
      <c r="F4" s="12"/>
      <c r="G4" s="12"/>
      <c r="H4" s="12"/>
      <c r="I4" s="12"/>
      <c r="J4" s="12"/>
      <c r="K4" s="12"/>
      <c r="L4" s="12"/>
      <c r="M4" s="12"/>
      <c r="N4" s="12"/>
      <c r="O4" s="8"/>
      <c r="P4" s="8"/>
      <c r="Q4" s="8"/>
      <c r="R4" s="8"/>
      <c r="S4" s="8"/>
      <c r="T4" s="8"/>
      <c r="U4" s="8"/>
      <c r="V4" s="8"/>
      <c r="W4" s="8"/>
      <c r="X4" s="8"/>
    </row>
    <row r="5" spans="1:24" x14ac:dyDescent="0.3">
      <c r="A5" s="12"/>
      <c r="B5" s="12"/>
      <c r="C5" s="12"/>
      <c r="D5" s="12"/>
      <c r="E5" s="12"/>
      <c r="F5" s="12"/>
      <c r="G5" s="12"/>
      <c r="H5" s="12"/>
      <c r="I5" s="12"/>
      <c r="J5" s="12"/>
      <c r="K5" s="12"/>
      <c r="L5" s="12"/>
      <c r="M5" s="12"/>
      <c r="N5" s="12"/>
      <c r="O5" s="8"/>
      <c r="P5" s="8"/>
      <c r="Q5" s="8"/>
      <c r="R5" s="8"/>
      <c r="S5" s="8"/>
      <c r="T5" s="8"/>
      <c r="U5" s="8"/>
      <c r="V5" s="8"/>
      <c r="W5" s="8"/>
      <c r="X5" s="8"/>
    </row>
    <row r="6" spans="1:24" x14ac:dyDescent="0.3">
      <c r="A6" s="12"/>
      <c r="B6" s="12"/>
      <c r="C6" s="12"/>
      <c r="D6" s="12"/>
      <c r="E6" s="12"/>
      <c r="F6" s="12"/>
      <c r="G6" s="12"/>
      <c r="H6" s="12"/>
      <c r="I6" s="12"/>
      <c r="J6" s="12"/>
      <c r="K6" s="12"/>
      <c r="L6" s="12"/>
      <c r="M6" s="12"/>
      <c r="N6" s="12"/>
      <c r="O6" s="8"/>
      <c r="P6" s="8"/>
      <c r="Q6" s="8"/>
      <c r="R6" s="8"/>
      <c r="S6" s="8"/>
      <c r="T6" s="8"/>
      <c r="U6" s="8"/>
      <c r="V6" s="8"/>
      <c r="W6" s="8"/>
      <c r="X6" s="8"/>
    </row>
    <row r="7" spans="1:24" x14ac:dyDescent="0.3">
      <c r="A7" s="12"/>
      <c r="B7" s="12"/>
      <c r="C7" s="12"/>
      <c r="D7" s="12"/>
      <c r="E7" s="12"/>
      <c r="F7" s="12"/>
      <c r="G7" s="12"/>
      <c r="H7" s="12"/>
      <c r="I7" s="12"/>
      <c r="J7" s="12"/>
      <c r="K7" s="12"/>
      <c r="L7" s="12"/>
      <c r="M7" s="12"/>
      <c r="N7" s="12"/>
      <c r="O7" s="8"/>
      <c r="P7" s="8"/>
      <c r="Q7" s="8"/>
      <c r="R7" s="8"/>
      <c r="S7" s="8"/>
      <c r="T7" s="8"/>
      <c r="U7" s="8"/>
      <c r="V7" s="8"/>
      <c r="W7" s="8"/>
      <c r="X7" s="8"/>
    </row>
    <row r="8" spans="1:24" x14ac:dyDescent="0.3">
      <c r="A8" s="12"/>
      <c r="B8" s="12"/>
      <c r="C8" s="12"/>
      <c r="D8" s="12"/>
      <c r="E8" s="12"/>
      <c r="F8" s="12"/>
      <c r="G8" s="12"/>
      <c r="H8" s="12"/>
      <c r="I8" s="12"/>
      <c r="J8" s="12"/>
      <c r="K8" s="12"/>
      <c r="L8" s="12"/>
      <c r="M8" s="12"/>
      <c r="N8" s="12"/>
      <c r="O8" s="8"/>
      <c r="P8" s="8"/>
      <c r="Q8" s="8"/>
      <c r="R8" s="8"/>
      <c r="S8" s="8"/>
      <c r="T8" s="8"/>
      <c r="U8" s="8"/>
      <c r="V8" s="8"/>
      <c r="W8" s="8"/>
      <c r="X8" s="8"/>
    </row>
    <row r="9" spans="1:24" x14ac:dyDescent="0.3">
      <c r="A9" s="12"/>
      <c r="B9" s="12"/>
      <c r="C9" s="12"/>
      <c r="D9" s="12"/>
      <c r="E9" s="12"/>
      <c r="F9" s="29" t="s">
        <v>135</v>
      </c>
      <c r="G9" s="29"/>
      <c r="H9" s="13"/>
      <c r="I9" s="29" t="s">
        <v>140</v>
      </c>
      <c r="J9" s="29"/>
      <c r="K9" s="12"/>
      <c r="L9" s="15" t="s">
        <v>141</v>
      </c>
      <c r="M9" s="27"/>
      <c r="N9" s="12"/>
      <c r="O9" s="8"/>
      <c r="P9" s="8"/>
    </row>
    <row r="10" spans="1:24" x14ac:dyDescent="0.3">
      <c r="A10" s="12"/>
      <c r="B10" s="12"/>
      <c r="C10" s="12"/>
      <c r="D10" s="12"/>
      <c r="E10" s="12"/>
      <c r="F10" s="16" t="s">
        <v>0</v>
      </c>
      <c r="G10" s="16" t="s">
        <v>114</v>
      </c>
      <c r="H10" s="12"/>
      <c r="I10" s="16" t="s">
        <v>0</v>
      </c>
      <c r="J10" s="16" t="s">
        <v>136</v>
      </c>
      <c r="K10" s="12"/>
      <c r="L10" s="16" t="s">
        <v>0</v>
      </c>
      <c r="M10" s="16" t="s">
        <v>3</v>
      </c>
      <c r="N10" s="12"/>
      <c r="O10" s="8"/>
      <c r="P10" s="8"/>
      <c r="Q10" s="8"/>
      <c r="R10" s="8"/>
      <c r="S10" s="8"/>
      <c r="T10" s="8"/>
      <c r="U10" s="8"/>
      <c r="V10" s="8"/>
      <c r="W10" s="8"/>
      <c r="X10" s="8"/>
    </row>
    <row r="11" spans="1:24" x14ac:dyDescent="0.3">
      <c r="A11" s="12"/>
      <c r="B11" s="12"/>
      <c r="C11" s="12"/>
      <c r="D11" s="12"/>
      <c r="E11" s="12"/>
      <c r="F11" s="12" t="str">
        <f>Sheet9!A4</f>
        <v>Anti-Skid Absorbent Insulation Coaster  For Home Office</v>
      </c>
      <c r="G11" s="12">
        <f>Sheet9!B4</f>
        <v>5</v>
      </c>
      <c r="H11" s="12"/>
      <c r="I11" s="12" t="str">
        <f>Sheet10!E5</f>
        <v>120W Cordless Vacuum Cleaners Handheld Electric Vacuum Cleaner</v>
      </c>
      <c r="J11" s="12">
        <f>Sheet10!F5</f>
        <v>69</v>
      </c>
      <c r="K11" s="12"/>
      <c r="L11" s="12" t="str">
        <f>Sheet11!D5</f>
        <v>6 In 1 Bottle Can Opener Multifunctional Easy Opener</v>
      </c>
      <c r="M11" s="14">
        <f>Sheet11!E5</f>
        <v>0.64</v>
      </c>
      <c r="N11" s="12"/>
      <c r="O11" s="8"/>
      <c r="P11" s="8"/>
      <c r="Q11" s="8"/>
      <c r="R11" s="8"/>
      <c r="S11" s="8"/>
      <c r="T11" s="8"/>
      <c r="U11" s="8"/>
      <c r="V11" s="8"/>
      <c r="W11" s="8"/>
      <c r="X11" s="8"/>
    </row>
    <row r="12" spans="1:24" x14ac:dyDescent="0.3">
      <c r="A12" s="12"/>
      <c r="B12" s="12"/>
      <c r="C12" s="12"/>
      <c r="D12" s="12"/>
      <c r="E12" s="12"/>
      <c r="F12" s="12" t="str">
        <f>Sheet9!A5</f>
        <v>Bedroom Simple Floor Hanging Clothes Rack Single Pole Hat Rack - White</v>
      </c>
      <c r="G12" s="12">
        <f>Sheet9!B5</f>
        <v>5</v>
      </c>
      <c r="H12" s="12"/>
      <c r="I12" s="12" t="str">
        <f>Sheet10!E6</f>
        <v>137 Pieces Cake Decorating Tool Set Baking Supplies</v>
      </c>
      <c r="J12" s="12">
        <f>Sheet10!F6</f>
        <v>55</v>
      </c>
      <c r="K12" s="12"/>
      <c r="L12" s="12" t="str">
        <f>Sheet11!D6</f>
        <v>Creative Owl Shape Keychain Black</v>
      </c>
      <c r="M12" s="14">
        <f>Sheet11!E6</f>
        <v>0.61</v>
      </c>
      <c r="N12" s="12"/>
      <c r="O12" s="8"/>
      <c r="P12" s="8"/>
      <c r="Q12" s="8"/>
      <c r="R12" s="8"/>
      <c r="S12" s="8"/>
      <c r="T12" s="8"/>
      <c r="U12" s="8"/>
      <c r="V12" s="8"/>
      <c r="W12" s="8"/>
      <c r="X12" s="8"/>
    </row>
    <row r="13" spans="1:24" x14ac:dyDescent="0.3">
      <c r="A13" s="12"/>
      <c r="B13" s="12"/>
      <c r="C13" s="12"/>
      <c r="D13" s="12"/>
      <c r="E13" s="12"/>
      <c r="F13" s="12" t="str">
        <f>Sheet9!A6</f>
        <v>Classic Black Cat Cotton Hemp Pillow Case For Home Car</v>
      </c>
      <c r="G13" s="12">
        <f>Sheet9!B6</f>
        <v>5</v>
      </c>
      <c r="H13" s="12"/>
      <c r="I13" s="12" t="str">
        <f>Sheet10!E9</f>
        <v>Electronic Digital Display Vernier Caliper</v>
      </c>
      <c r="J13" s="12">
        <f>Sheet10!F9</f>
        <v>49</v>
      </c>
      <c r="K13" s="12"/>
      <c r="L13" s="12" t="str">
        <f>Sheet11!D4</f>
        <v>5-PCS Stainless Steel Cooking Pot Set With Steamed Slices</v>
      </c>
      <c r="M13" s="14">
        <f>Sheet11!E4</f>
        <v>0.55000000000000004</v>
      </c>
      <c r="N13" s="12"/>
      <c r="O13" s="8"/>
      <c r="P13" s="8"/>
      <c r="Q13" s="8"/>
      <c r="R13" s="8"/>
      <c r="S13" s="8"/>
      <c r="T13" s="8"/>
      <c r="U13" s="8"/>
      <c r="V13" s="8"/>
      <c r="W13" s="8"/>
      <c r="X13" s="8"/>
    </row>
    <row r="14" spans="1:24" x14ac:dyDescent="0.3">
      <c r="A14" s="12"/>
      <c r="B14" s="12"/>
      <c r="C14" s="12"/>
      <c r="D14" s="12"/>
      <c r="E14" s="12"/>
      <c r="F14" s="12" t="str">
        <f>Sheet9!A7</f>
        <v>DIY File Folder, Office Drawer File Holder, Pen Holder, Desktop Storage Rack</v>
      </c>
      <c r="G14" s="12">
        <f>Sheet9!B7</f>
        <v>5</v>
      </c>
      <c r="H14" s="12"/>
      <c r="I14" s="12" t="str">
        <f>Sheet10!E7</f>
        <v>3D Waterproof EVA Plastic Shower Curtain 1.8*2Mtrs</v>
      </c>
      <c r="J14" s="12">
        <f>Sheet10!F7</f>
        <v>44</v>
      </c>
      <c r="K14" s="12"/>
      <c r="L14" s="12" t="str">
        <f>Sheet11!D8</f>
        <v>LASA FOLDING TABLE SERVING STAND</v>
      </c>
      <c r="M14" s="14">
        <f>Sheet11!E8</f>
        <v>0.55000000000000004</v>
      </c>
      <c r="N14" s="12"/>
      <c r="O14" s="8"/>
      <c r="P14" s="8"/>
      <c r="Q14" s="8"/>
      <c r="R14" s="8"/>
      <c r="S14" s="8"/>
      <c r="T14" s="8"/>
      <c r="U14" s="8"/>
      <c r="V14" s="8"/>
      <c r="W14" s="8"/>
      <c r="X14" s="8"/>
    </row>
    <row r="15" spans="1:24" x14ac:dyDescent="0.3">
      <c r="A15" s="12"/>
      <c r="B15" s="12"/>
      <c r="C15" s="12"/>
      <c r="D15" s="12"/>
      <c r="E15" s="12"/>
      <c r="F15" s="12" t="str">
        <f>Sheet9!A8</f>
        <v>Konka Healty Electric Kettle, 24-hour Heat Preservation,1.5L,800W, White</v>
      </c>
      <c r="G15" s="12">
        <f>Sheet9!B8</f>
        <v>5</v>
      </c>
      <c r="H15" s="12"/>
      <c r="I15" s="12" t="str">
        <f>Sheet10!E4</f>
        <v>100 Pcs Crochet Hook Tool Set Knitting Hook Set With Box</v>
      </c>
      <c r="J15" s="12">
        <f>Sheet10!F4</f>
        <v>39</v>
      </c>
      <c r="K15" s="12"/>
      <c r="L15" s="12" t="str">
        <f>Sheet11!D10</f>
        <v>Simple Metal Dog Art Sculpture Decoration For Home Office</v>
      </c>
      <c r="M15" s="14">
        <f>Sheet11!E10</f>
        <v>0.55000000000000004</v>
      </c>
      <c r="N15" s="12"/>
      <c r="O15" s="8"/>
      <c r="P15" s="8"/>
      <c r="Q15" s="8"/>
      <c r="R15" s="8"/>
      <c r="S15" s="8"/>
      <c r="T15" s="8"/>
      <c r="U15" s="8"/>
      <c r="V15" s="8"/>
      <c r="W15" s="8"/>
      <c r="X15" s="8"/>
    </row>
    <row r="16" spans="1:24" x14ac:dyDescent="0.3">
      <c r="A16" s="12"/>
      <c r="B16" s="12"/>
      <c r="C16" s="12"/>
      <c r="D16" s="12"/>
      <c r="E16" s="12"/>
      <c r="F16" s="12" t="str">
        <f>Sheet9!A9</f>
        <v>LASA Aluminum Folding Truck Hand Cart - 68kg Max</v>
      </c>
      <c r="G16" s="12">
        <f>Sheet9!B9</f>
        <v>5</v>
      </c>
      <c r="H16" s="12"/>
      <c r="I16" s="12" t="str">
        <f>Sheet10!E10</f>
        <v>Punch-free Great Load Bearing Bathroom Storage Rack Wall Shelf-White</v>
      </c>
      <c r="J16" s="12">
        <f>Sheet10!F10</f>
        <v>36</v>
      </c>
      <c r="K16" s="12"/>
      <c r="L16" s="12" t="str">
        <f>Sheet11!D7</f>
        <v>LASA 3 Tier Bamboo Shoe Bench Storage Shelf</v>
      </c>
      <c r="M16" s="14">
        <f>Sheet11!E7</f>
        <v>0.54</v>
      </c>
      <c r="N16" s="12"/>
      <c r="O16" s="8"/>
      <c r="P16" s="8"/>
      <c r="Q16" s="8"/>
      <c r="R16" s="8"/>
      <c r="S16" s="8"/>
      <c r="T16" s="8"/>
      <c r="U16" s="8"/>
      <c r="V16" s="8"/>
      <c r="W16" s="8"/>
      <c r="X16" s="8"/>
    </row>
    <row r="17" spans="1:24" x14ac:dyDescent="0.3">
      <c r="A17" s="12"/>
      <c r="B17" s="12"/>
      <c r="C17" s="12"/>
      <c r="D17" s="12"/>
      <c r="E17" s="12"/>
      <c r="F17" s="12" t="str">
        <f>Sheet9!A10</f>
        <v>Peacock  Throw Pillow Cushion Case For Home Car</v>
      </c>
      <c r="G17" s="12">
        <f>Sheet9!B10</f>
        <v>5</v>
      </c>
      <c r="H17" s="12"/>
      <c r="I17" s="12" t="str">
        <f>Sheet10!E8</f>
        <v>53 Pieces/Set Yarn Knitting Crochet Hooks With Bag - Pansies</v>
      </c>
      <c r="J17" s="12">
        <f>Sheet10!F8</f>
        <v>32</v>
      </c>
      <c r="K17" s="12"/>
      <c r="L17" s="12" t="str">
        <f>Sheet11!D9</f>
        <v>Mythco 120COB Solar Wall Ligt With Motion Sensor And Remote Control 3 Modes</v>
      </c>
      <c r="M17" s="14">
        <f>Sheet11!E9</f>
        <v>0.54</v>
      </c>
      <c r="N17" s="12"/>
      <c r="O17" s="8"/>
      <c r="P17" s="8"/>
      <c r="Q17" s="8"/>
      <c r="R17" s="8"/>
      <c r="S17" s="8"/>
      <c r="T17" s="8"/>
      <c r="U17" s="8"/>
      <c r="V17" s="8"/>
      <c r="W17" s="8"/>
      <c r="X17" s="8"/>
    </row>
    <row r="18" spans="1:24" x14ac:dyDescent="0.3">
      <c r="A18" s="12"/>
      <c r="B18" s="12"/>
      <c r="C18" s="12"/>
      <c r="D18" s="12"/>
      <c r="E18" s="12"/>
      <c r="F18" s="25" t="str">
        <f>Sheet9!A11</f>
        <v>Grand Total</v>
      </c>
      <c r="G18" s="25">
        <f>Sheet9!B11</f>
        <v>35</v>
      </c>
      <c r="H18" s="12"/>
      <c r="I18" s="25" t="str">
        <f>Sheet10!E11</f>
        <v>Grand Total</v>
      </c>
      <c r="J18" s="25">
        <f>Sheet10!F11</f>
        <v>324</v>
      </c>
      <c r="K18" s="12"/>
      <c r="L18" s="25" t="str">
        <f>Sheet11!D11</f>
        <v>Grand Total</v>
      </c>
      <c r="M18" s="26">
        <f>Sheet11!E11</f>
        <v>1</v>
      </c>
      <c r="N18" s="12"/>
      <c r="O18" s="8"/>
      <c r="P18" s="8"/>
      <c r="Q18" s="8"/>
      <c r="R18" s="8"/>
      <c r="S18" s="8"/>
      <c r="T18" s="8"/>
      <c r="U18" s="8"/>
      <c r="V18" s="8"/>
      <c r="W18" s="8"/>
      <c r="X18" s="8"/>
    </row>
    <row r="19" spans="1:24" x14ac:dyDescent="0.3">
      <c r="A19" s="12"/>
      <c r="B19" s="12"/>
      <c r="C19" s="12"/>
      <c r="D19" s="12"/>
      <c r="E19" s="12"/>
      <c r="F19" s="12"/>
      <c r="G19" s="12"/>
      <c r="H19" s="12"/>
      <c r="I19" s="12"/>
      <c r="J19" s="12"/>
      <c r="K19" s="12"/>
      <c r="L19" s="12"/>
      <c r="M19" s="12"/>
      <c r="N19" s="12"/>
      <c r="O19" s="8"/>
      <c r="P19" s="8"/>
      <c r="Q19" s="8"/>
      <c r="R19" s="8"/>
      <c r="S19" s="8"/>
      <c r="T19" s="8"/>
      <c r="U19" s="8"/>
      <c r="V19" s="8"/>
      <c r="W19" s="8"/>
      <c r="X19" s="8"/>
    </row>
    <row r="20" spans="1:24" x14ac:dyDescent="0.3">
      <c r="A20" s="12"/>
      <c r="B20" s="12"/>
      <c r="C20" s="12"/>
      <c r="D20" s="12"/>
      <c r="E20" s="12"/>
      <c r="F20" s="12"/>
      <c r="G20" s="12"/>
      <c r="H20" s="12"/>
      <c r="I20" s="12"/>
      <c r="J20" s="12"/>
      <c r="K20" s="12"/>
      <c r="L20" s="12"/>
      <c r="M20" s="12"/>
      <c r="N20" s="12"/>
      <c r="O20" s="8"/>
      <c r="P20" s="8"/>
      <c r="Q20" s="8"/>
      <c r="R20" s="8"/>
      <c r="S20" s="8"/>
      <c r="T20" s="8"/>
      <c r="U20" s="8"/>
      <c r="V20" s="8"/>
      <c r="W20" s="8"/>
      <c r="X20" s="8"/>
    </row>
    <row r="21" spans="1:24" x14ac:dyDescent="0.3">
      <c r="A21" s="12"/>
      <c r="B21" s="12"/>
      <c r="C21" s="12"/>
      <c r="D21" s="12"/>
      <c r="E21" s="12"/>
      <c r="F21" s="12"/>
      <c r="G21" s="12"/>
      <c r="H21" s="12"/>
      <c r="I21" s="12"/>
      <c r="J21" s="12"/>
      <c r="K21" s="12"/>
      <c r="L21" s="12"/>
      <c r="M21" s="12"/>
      <c r="N21" s="12"/>
      <c r="O21" s="8"/>
      <c r="P21" s="8"/>
      <c r="Q21" s="8"/>
      <c r="R21" s="8"/>
      <c r="S21" s="8"/>
      <c r="T21" s="8"/>
      <c r="U21" s="8"/>
      <c r="V21" s="8"/>
      <c r="W21" s="8"/>
      <c r="X21" s="8"/>
    </row>
    <row r="22" spans="1:24" x14ac:dyDescent="0.3">
      <c r="A22" s="12"/>
      <c r="B22" s="12"/>
      <c r="C22" s="12"/>
      <c r="D22" s="12"/>
      <c r="E22" s="12"/>
      <c r="F22" s="12"/>
      <c r="G22" s="12"/>
      <c r="H22" s="12"/>
      <c r="I22" s="12"/>
      <c r="J22" s="12"/>
      <c r="K22" s="12"/>
      <c r="L22" s="12"/>
      <c r="M22" s="12"/>
      <c r="N22" s="12"/>
      <c r="O22" s="8"/>
      <c r="P22" s="8"/>
      <c r="Q22" s="8"/>
      <c r="R22" s="8"/>
      <c r="S22" s="8"/>
      <c r="T22" s="8"/>
      <c r="U22" s="8"/>
      <c r="V22" s="8"/>
      <c r="W22" s="8"/>
      <c r="X22" s="8"/>
    </row>
    <row r="23" spans="1:24" x14ac:dyDescent="0.3">
      <c r="A23" s="12"/>
      <c r="B23" s="12"/>
      <c r="C23" s="12"/>
      <c r="D23" s="12"/>
      <c r="E23" s="12"/>
      <c r="F23" s="12"/>
      <c r="G23" s="12"/>
      <c r="H23" s="12"/>
      <c r="I23" s="12"/>
      <c r="J23" s="12"/>
      <c r="K23" s="12"/>
      <c r="L23" s="12"/>
      <c r="M23" s="12"/>
      <c r="N23" s="12"/>
      <c r="O23" s="8"/>
      <c r="P23" s="8"/>
      <c r="Q23" s="8"/>
      <c r="R23" s="8"/>
      <c r="S23" s="8"/>
      <c r="T23" s="8"/>
      <c r="U23" s="8"/>
      <c r="V23" s="8"/>
      <c r="W23" s="8"/>
      <c r="X23" s="8"/>
    </row>
    <row r="24" spans="1:24" x14ac:dyDescent="0.3">
      <c r="A24" s="12"/>
      <c r="B24" s="12"/>
      <c r="C24" s="12"/>
      <c r="D24" s="12"/>
      <c r="E24" s="12"/>
      <c r="F24" s="12"/>
      <c r="G24" s="12"/>
      <c r="H24" s="12"/>
      <c r="I24" s="12"/>
      <c r="J24" s="12"/>
      <c r="K24" s="12"/>
      <c r="L24" s="12"/>
      <c r="M24" s="12"/>
      <c r="N24" s="12"/>
      <c r="O24" s="8"/>
      <c r="P24" s="8"/>
      <c r="Q24" s="8"/>
      <c r="R24" s="8"/>
      <c r="S24" s="8"/>
      <c r="T24" s="8"/>
      <c r="U24" s="8"/>
      <c r="V24" s="8"/>
      <c r="W24" s="8"/>
      <c r="X24" s="8"/>
    </row>
    <row r="25" spans="1:24" x14ac:dyDescent="0.3">
      <c r="A25" s="12"/>
      <c r="B25" s="12"/>
      <c r="C25" s="12"/>
      <c r="D25" s="12"/>
      <c r="E25" s="12"/>
      <c r="F25" s="12"/>
      <c r="G25" s="12"/>
      <c r="H25" s="12"/>
      <c r="I25" s="12"/>
      <c r="J25" s="12"/>
      <c r="K25" s="12"/>
      <c r="L25" s="12"/>
      <c r="M25" s="12"/>
      <c r="N25" s="12"/>
      <c r="O25" s="8"/>
      <c r="P25" s="8"/>
      <c r="Q25" s="8"/>
      <c r="R25" s="8"/>
      <c r="S25" s="8"/>
      <c r="T25" s="8"/>
      <c r="U25" s="8"/>
      <c r="V25" s="8"/>
      <c r="W25" s="8"/>
      <c r="X25" s="8"/>
    </row>
    <row r="26" spans="1:24" x14ac:dyDescent="0.3">
      <c r="A26" s="12"/>
      <c r="B26" s="12"/>
      <c r="C26" s="12"/>
      <c r="D26" s="12"/>
      <c r="E26" s="12"/>
      <c r="F26" s="12"/>
      <c r="G26" s="12"/>
      <c r="H26" s="12"/>
      <c r="I26" s="12"/>
      <c r="J26" s="12"/>
      <c r="K26" s="12"/>
      <c r="L26" s="12"/>
      <c r="M26" s="12"/>
      <c r="N26" s="12"/>
      <c r="O26" s="8"/>
      <c r="P26" s="8"/>
      <c r="Q26" s="8"/>
      <c r="R26" s="8"/>
      <c r="S26" s="8"/>
      <c r="T26" s="8"/>
      <c r="U26" s="8"/>
      <c r="V26" s="8"/>
      <c r="W26" s="8"/>
      <c r="X26" s="8"/>
    </row>
    <row r="27" spans="1:24" x14ac:dyDescent="0.3">
      <c r="A27" s="12"/>
      <c r="B27" s="12"/>
      <c r="C27" s="12"/>
      <c r="D27" s="12"/>
      <c r="E27" s="12"/>
      <c r="F27" s="12"/>
      <c r="G27" s="12"/>
      <c r="H27" s="12"/>
      <c r="I27" s="12"/>
      <c r="J27" s="12"/>
      <c r="K27" s="12"/>
      <c r="L27" s="12"/>
      <c r="M27" s="12"/>
      <c r="N27" s="12"/>
      <c r="O27" s="8"/>
      <c r="P27" s="8"/>
      <c r="Q27" s="8"/>
      <c r="R27" s="8"/>
      <c r="S27" s="8"/>
      <c r="T27" s="8"/>
      <c r="U27" s="8"/>
      <c r="V27" s="8"/>
      <c r="W27" s="8"/>
      <c r="X27" s="8"/>
    </row>
    <row r="28" spans="1:24" x14ac:dyDescent="0.3">
      <c r="A28" s="12"/>
      <c r="B28" s="12"/>
      <c r="C28" s="12"/>
      <c r="D28" s="12"/>
      <c r="E28" s="12"/>
      <c r="F28" s="12"/>
      <c r="G28" s="12"/>
      <c r="H28" s="12"/>
      <c r="I28" s="12"/>
      <c r="J28" s="12"/>
      <c r="K28" s="12"/>
      <c r="L28" s="12"/>
      <c r="M28" s="12"/>
      <c r="N28" s="12"/>
      <c r="O28" s="8"/>
      <c r="P28" s="8"/>
      <c r="Q28" s="8"/>
      <c r="R28" s="8"/>
      <c r="S28" s="8"/>
      <c r="T28" s="8"/>
      <c r="U28" s="8"/>
      <c r="V28" s="8"/>
      <c r="W28" s="8"/>
      <c r="X28" s="8"/>
    </row>
    <row r="29" spans="1:24" x14ac:dyDescent="0.3">
      <c r="A29" s="12"/>
      <c r="B29" s="12"/>
      <c r="C29" s="12"/>
      <c r="D29" s="12"/>
      <c r="E29" s="12"/>
      <c r="F29" s="12"/>
      <c r="G29" s="12"/>
      <c r="H29" s="12"/>
      <c r="I29" s="12"/>
      <c r="J29" s="12"/>
      <c r="K29" s="12"/>
      <c r="L29" s="12"/>
      <c r="M29" s="12"/>
      <c r="N29" s="12"/>
      <c r="O29" s="8"/>
      <c r="P29" s="8"/>
      <c r="Q29" s="8"/>
      <c r="R29" s="8"/>
      <c r="S29" s="8"/>
      <c r="T29" s="8"/>
      <c r="U29" s="8"/>
      <c r="V29" s="8"/>
      <c r="W29" s="8"/>
      <c r="X29" s="8"/>
    </row>
    <row r="30" spans="1:24" x14ac:dyDescent="0.3">
      <c r="A30" s="12"/>
      <c r="B30" s="12"/>
      <c r="C30" s="12"/>
      <c r="D30" s="12"/>
      <c r="E30" s="12"/>
      <c r="F30" s="12"/>
      <c r="G30" s="12"/>
      <c r="H30" s="12"/>
      <c r="I30" s="12"/>
      <c r="J30" s="12"/>
      <c r="K30" s="12"/>
      <c r="L30" s="12"/>
      <c r="M30" s="12"/>
      <c r="N30" s="12"/>
      <c r="O30" s="8"/>
      <c r="P30" s="8"/>
      <c r="Q30" s="8"/>
      <c r="R30" s="8"/>
      <c r="S30" s="8"/>
      <c r="T30" s="8"/>
      <c r="U30" s="8"/>
      <c r="V30" s="8"/>
      <c r="W30" s="8"/>
      <c r="X30" s="8"/>
    </row>
    <row r="31" spans="1:24" x14ac:dyDescent="0.3">
      <c r="A31" s="12"/>
      <c r="B31" s="12"/>
      <c r="C31" s="12"/>
      <c r="D31" s="12"/>
      <c r="E31" s="12"/>
      <c r="F31" s="12"/>
      <c r="G31" s="12"/>
      <c r="H31" s="12"/>
      <c r="I31" s="12"/>
      <c r="J31" s="12"/>
      <c r="K31" s="12"/>
      <c r="L31" s="12"/>
      <c r="M31" s="12"/>
      <c r="N31" s="12"/>
      <c r="O31" s="8"/>
      <c r="P31" s="8"/>
      <c r="Q31" s="8"/>
      <c r="R31" s="8"/>
      <c r="S31" s="8"/>
      <c r="T31" s="8"/>
      <c r="U31" s="8"/>
      <c r="V31" s="8"/>
      <c r="W31" s="8"/>
      <c r="X31" s="8"/>
    </row>
    <row r="32" spans="1:24" x14ac:dyDescent="0.3">
      <c r="A32" s="12"/>
      <c r="B32" s="12"/>
      <c r="C32" s="12"/>
      <c r="D32" s="12"/>
      <c r="E32" s="12"/>
      <c r="F32" s="12"/>
      <c r="G32" s="12"/>
      <c r="H32" s="12"/>
      <c r="I32" s="12"/>
      <c r="J32" s="12"/>
      <c r="K32" s="12"/>
      <c r="L32" s="12"/>
      <c r="M32" s="12"/>
      <c r="N32" s="12"/>
      <c r="O32" s="8"/>
      <c r="P32" s="8"/>
      <c r="Q32" s="8"/>
      <c r="R32" s="8"/>
      <c r="S32" s="8"/>
      <c r="T32" s="8"/>
      <c r="U32" s="8"/>
      <c r="V32" s="8"/>
      <c r="W32" s="8"/>
      <c r="X32" s="8"/>
    </row>
    <row r="33" spans="1:24" x14ac:dyDescent="0.3">
      <c r="A33" s="12"/>
      <c r="B33" s="12"/>
      <c r="C33" s="12"/>
      <c r="D33" s="12"/>
      <c r="E33" s="12"/>
      <c r="F33" s="12"/>
      <c r="G33" s="12"/>
      <c r="H33" s="12"/>
      <c r="I33" s="12"/>
      <c r="J33" s="12"/>
      <c r="K33" s="12"/>
      <c r="L33" s="12"/>
      <c r="M33" s="12"/>
      <c r="N33" s="12"/>
      <c r="O33" s="8"/>
      <c r="P33" s="8"/>
      <c r="Q33" s="8"/>
      <c r="R33" s="8"/>
      <c r="S33" s="8"/>
      <c r="T33" s="8"/>
      <c r="U33" s="8"/>
      <c r="V33" s="8"/>
      <c r="W33" s="8"/>
      <c r="X33" s="8"/>
    </row>
    <row r="34" spans="1:24" x14ac:dyDescent="0.3">
      <c r="A34" s="12"/>
      <c r="B34" s="12"/>
      <c r="C34" s="12"/>
      <c r="D34" s="12"/>
      <c r="E34" s="12"/>
      <c r="F34" s="12"/>
      <c r="G34" s="12"/>
      <c r="H34" s="12"/>
      <c r="I34" s="12"/>
      <c r="J34" s="12"/>
      <c r="K34" s="12"/>
      <c r="L34" s="12"/>
      <c r="M34" s="12"/>
      <c r="N34" s="12"/>
      <c r="O34" s="8"/>
      <c r="P34" s="8"/>
      <c r="Q34" s="8"/>
      <c r="R34" s="8"/>
      <c r="S34" s="8"/>
      <c r="T34" s="8"/>
      <c r="U34" s="8"/>
      <c r="V34" s="8"/>
      <c r="W34" s="8"/>
      <c r="X34" s="8"/>
    </row>
    <row r="35" spans="1:24" x14ac:dyDescent="0.3">
      <c r="A35" s="12"/>
      <c r="B35" s="12"/>
      <c r="C35" s="12"/>
      <c r="D35" s="12"/>
      <c r="E35" s="12"/>
      <c r="F35" s="12"/>
      <c r="G35" s="12"/>
      <c r="H35" s="12"/>
      <c r="I35" s="12"/>
      <c r="J35" s="12"/>
      <c r="K35" s="12"/>
      <c r="L35" s="12"/>
      <c r="M35" s="12"/>
      <c r="N35" s="12"/>
      <c r="O35" s="8"/>
      <c r="P35" s="8"/>
      <c r="Q35" s="8"/>
      <c r="R35" s="8"/>
      <c r="S35" s="8"/>
      <c r="T35" s="8"/>
      <c r="U35" s="8"/>
      <c r="V35" s="8"/>
      <c r="W35" s="8"/>
      <c r="X35" s="8"/>
    </row>
    <row r="36" spans="1:24" x14ac:dyDescent="0.3">
      <c r="A36" s="12"/>
      <c r="B36" s="12"/>
      <c r="C36" s="12"/>
      <c r="D36" s="12"/>
      <c r="E36" s="12"/>
      <c r="F36" s="12"/>
      <c r="G36" s="12"/>
      <c r="H36" s="12"/>
      <c r="I36" s="12"/>
      <c r="J36" s="12"/>
      <c r="K36" s="12"/>
      <c r="L36" s="12"/>
      <c r="M36" s="12"/>
      <c r="N36" s="12"/>
      <c r="O36" s="8"/>
      <c r="P36" s="8"/>
      <c r="Q36" s="8"/>
      <c r="R36" s="8"/>
      <c r="S36" s="8"/>
      <c r="T36" s="8"/>
      <c r="U36" s="8"/>
      <c r="V36" s="8"/>
      <c r="W36" s="8"/>
      <c r="X36" s="8"/>
    </row>
    <row r="37" spans="1:24" x14ac:dyDescent="0.3">
      <c r="A37" s="12"/>
      <c r="B37" s="12"/>
      <c r="C37" s="12"/>
      <c r="D37" s="12"/>
      <c r="E37" s="12"/>
      <c r="F37" s="12"/>
      <c r="G37" s="12"/>
      <c r="H37" s="12"/>
      <c r="I37" s="12"/>
      <c r="J37" s="12"/>
      <c r="K37" s="12"/>
      <c r="L37" s="12"/>
      <c r="M37" s="12"/>
      <c r="N37" s="12"/>
      <c r="O37" s="8"/>
      <c r="P37" s="8"/>
      <c r="Q37" s="8"/>
      <c r="R37" s="8"/>
      <c r="S37" s="8"/>
      <c r="T37" s="8"/>
      <c r="U37" s="8"/>
      <c r="V37" s="8"/>
      <c r="W37" s="8"/>
      <c r="X37" s="8"/>
    </row>
    <row r="38" spans="1:24" x14ac:dyDescent="0.3">
      <c r="A38" s="8"/>
      <c r="B38" s="8"/>
      <c r="C38" s="8"/>
      <c r="D38" s="8"/>
      <c r="E38" s="8"/>
      <c r="F38" s="8"/>
      <c r="G38" s="8"/>
      <c r="H38" s="8"/>
      <c r="I38" s="8"/>
      <c r="J38" s="8"/>
      <c r="K38" s="8"/>
      <c r="L38" s="8"/>
      <c r="M38" s="8"/>
      <c r="N38" s="8"/>
      <c r="O38" s="8"/>
      <c r="P38" s="8"/>
      <c r="Q38" s="8"/>
      <c r="R38" s="8"/>
      <c r="S38" s="8"/>
      <c r="T38" s="8"/>
      <c r="U38" s="8"/>
      <c r="V38" s="8"/>
      <c r="W38" s="8"/>
      <c r="X38" s="8"/>
    </row>
    <row r="39" spans="1:24" x14ac:dyDescent="0.3">
      <c r="A39" s="8"/>
      <c r="B39" s="8"/>
      <c r="C39" s="8"/>
      <c r="D39" s="8"/>
      <c r="E39" s="8"/>
      <c r="F39" s="8"/>
      <c r="G39" s="8"/>
      <c r="H39" s="8"/>
      <c r="I39" s="8"/>
      <c r="J39" s="8"/>
      <c r="K39" s="8"/>
      <c r="L39" s="8"/>
      <c r="M39" s="8"/>
      <c r="N39" s="8"/>
      <c r="O39" s="8"/>
      <c r="P39" s="8"/>
      <c r="Q39" s="8"/>
      <c r="R39" s="8"/>
      <c r="S39" s="8"/>
      <c r="T39" s="8"/>
      <c r="U39" s="8"/>
      <c r="V39" s="8"/>
      <c r="W39" s="8"/>
      <c r="X39" s="8"/>
    </row>
    <row r="40" spans="1:24" x14ac:dyDescent="0.3">
      <c r="A40" s="8"/>
      <c r="B40" s="8"/>
      <c r="C40" s="8"/>
      <c r="D40" s="8"/>
      <c r="E40" s="8"/>
      <c r="F40" s="8"/>
      <c r="G40" s="8"/>
      <c r="H40" s="8"/>
      <c r="I40" s="8"/>
      <c r="J40" s="8"/>
      <c r="K40" s="8"/>
      <c r="L40" s="8"/>
      <c r="M40" s="8"/>
      <c r="N40" s="8"/>
      <c r="O40" s="8"/>
      <c r="P40" s="8"/>
      <c r="Q40" s="8"/>
      <c r="R40" s="8"/>
      <c r="S40" s="8"/>
      <c r="T40" s="8"/>
      <c r="U40" s="8"/>
      <c r="V40" s="8"/>
      <c r="W40" s="8"/>
      <c r="X40" s="8"/>
    </row>
    <row r="41" spans="1:24" x14ac:dyDescent="0.3">
      <c r="A41" s="8"/>
      <c r="B41" s="8"/>
      <c r="C41" s="8"/>
      <c r="D41" s="8"/>
      <c r="E41" s="8"/>
      <c r="F41" s="8"/>
      <c r="G41" s="8"/>
      <c r="H41" s="8"/>
      <c r="I41" s="8"/>
      <c r="J41" s="8"/>
      <c r="K41" s="8"/>
      <c r="L41" s="8"/>
      <c r="M41" s="8"/>
      <c r="N41" s="8"/>
      <c r="O41" s="8"/>
      <c r="P41" s="8"/>
      <c r="Q41" s="8"/>
      <c r="R41" s="8"/>
      <c r="S41" s="8"/>
      <c r="T41" s="8"/>
      <c r="U41" s="8"/>
      <c r="V41" s="8"/>
      <c r="W41" s="8"/>
      <c r="X41" s="8"/>
    </row>
    <row r="42" spans="1:24" x14ac:dyDescent="0.3">
      <c r="A42" s="8"/>
      <c r="B42" s="8"/>
      <c r="C42" s="8"/>
      <c r="D42" s="8"/>
      <c r="E42" s="8"/>
      <c r="F42" s="8"/>
      <c r="G42" s="8"/>
      <c r="H42" s="8"/>
      <c r="I42" s="8"/>
      <c r="J42" s="8"/>
      <c r="K42" s="8"/>
      <c r="L42" s="8"/>
      <c r="M42" s="8"/>
      <c r="N42" s="8"/>
      <c r="O42" s="8"/>
      <c r="P42" s="8"/>
      <c r="Q42" s="8"/>
      <c r="R42" s="8"/>
      <c r="S42" s="8"/>
      <c r="T42" s="8"/>
      <c r="U42" s="8"/>
      <c r="V42" s="8"/>
      <c r="W42" s="8"/>
      <c r="X42" s="8"/>
    </row>
    <row r="43" spans="1:24" x14ac:dyDescent="0.3">
      <c r="A43" s="8"/>
      <c r="B43" s="8"/>
      <c r="C43" s="8"/>
      <c r="D43" s="8"/>
      <c r="E43" s="8"/>
      <c r="F43" s="8"/>
      <c r="G43" s="8"/>
      <c r="H43" s="8"/>
      <c r="I43" s="8"/>
      <c r="J43" s="8"/>
      <c r="K43" s="8"/>
      <c r="L43" s="8"/>
      <c r="M43" s="8"/>
      <c r="N43" s="8"/>
      <c r="O43" s="8"/>
      <c r="P43" s="8"/>
      <c r="Q43" s="8"/>
      <c r="R43" s="8"/>
      <c r="S43" s="8"/>
      <c r="T43" s="8"/>
      <c r="U43" s="8"/>
      <c r="V43" s="8"/>
      <c r="W43" s="8"/>
      <c r="X43" s="8"/>
    </row>
    <row r="44" spans="1:24" x14ac:dyDescent="0.3">
      <c r="A44" s="8"/>
      <c r="B44" s="8"/>
      <c r="C44" s="8"/>
      <c r="D44" s="8"/>
      <c r="E44" s="8"/>
      <c r="F44" s="8"/>
      <c r="G44" s="8"/>
      <c r="H44" s="8"/>
      <c r="I44" s="8"/>
      <c r="J44" s="8"/>
      <c r="K44" s="8"/>
      <c r="L44" s="8"/>
      <c r="M44" s="8"/>
      <c r="N44" s="8"/>
      <c r="O44" s="8"/>
      <c r="P44" s="8"/>
      <c r="Q44" s="8"/>
      <c r="R44" s="8"/>
      <c r="S44" s="8"/>
      <c r="T44" s="8"/>
      <c r="U44" s="8"/>
      <c r="V44" s="8"/>
      <c r="W44" s="8"/>
      <c r="X44" s="8"/>
    </row>
    <row r="45" spans="1:24" x14ac:dyDescent="0.3">
      <c r="A45" s="8"/>
      <c r="B45" s="8"/>
      <c r="C45" s="8"/>
      <c r="D45" s="8"/>
      <c r="E45" s="8"/>
      <c r="F45" s="8"/>
      <c r="G45" s="8"/>
      <c r="H45" s="8"/>
      <c r="I45" s="8"/>
      <c r="J45" s="8"/>
      <c r="K45" s="8"/>
      <c r="L45" s="8"/>
      <c r="M45" s="8"/>
      <c r="N45" s="8"/>
      <c r="O45" s="8"/>
      <c r="P45" s="8"/>
      <c r="Q45" s="8"/>
      <c r="R45" s="8"/>
      <c r="S45" s="8"/>
      <c r="T45" s="8"/>
      <c r="U45" s="8"/>
      <c r="V45" s="8"/>
      <c r="W45" s="8"/>
      <c r="X45" s="8"/>
    </row>
    <row r="46" spans="1:24" x14ac:dyDescent="0.3">
      <c r="A46" s="8"/>
      <c r="B46" s="8"/>
      <c r="C46" s="8"/>
      <c r="D46" s="8"/>
      <c r="E46" s="8"/>
      <c r="F46" s="8"/>
      <c r="G46" s="8"/>
      <c r="H46" s="8"/>
      <c r="I46" s="8"/>
      <c r="J46" s="8"/>
      <c r="K46" s="8"/>
      <c r="L46" s="8"/>
      <c r="M46" s="8"/>
      <c r="N46" s="8"/>
      <c r="O46" s="8"/>
      <c r="P46" s="8"/>
      <c r="Q46" s="8"/>
      <c r="R46" s="8"/>
      <c r="S46" s="8"/>
      <c r="T46" s="8"/>
      <c r="U46" s="8"/>
      <c r="V46" s="8"/>
      <c r="W46" s="8"/>
      <c r="X46" s="8"/>
    </row>
    <row r="47" spans="1:24" x14ac:dyDescent="0.3">
      <c r="A47" s="8"/>
      <c r="B47" s="8"/>
      <c r="C47" s="8"/>
      <c r="D47" s="8"/>
      <c r="E47" s="8"/>
      <c r="F47" s="8"/>
      <c r="G47" s="8"/>
      <c r="H47" s="8"/>
      <c r="I47" s="8"/>
      <c r="J47" s="8"/>
      <c r="K47" s="8"/>
      <c r="L47" s="8"/>
      <c r="M47" s="8"/>
      <c r="N47" s="8"/>
      <c r="O47" s="8"/>
      <c r="P47" s="8"/>
      <c r="Q47" s="8"/>
      <c r="R47" s="8"/>
      <c r="S47" s="8"/>
      <c r="T47" s="8"/>
      <c r="U47" s="8"/>
      <c r="V47" s="8"/>
      <c r="W47" s="8"/>
      <c r="X47" s="8"/>
    </row>
    <row r="48" spans="1:24" x14ac:dyDescent="0.3">
      <c r="A48" s="8"/>
      <c r="B48" s="8"/>
      <c r="C48" s="8"/>
      <c r="D48" s="8"/>
    </row>
    <row r="49" spans="1:4" x14ac:dyDescent="0.3">
      <c r="A49" s="8"/>
      <c r="B49" s="8"/>
      <c r="C49" s="8"/>
      <c r="D49" s="8"/>
    </row>
  </sheetData>
  <sortState xmlns:xlrd2="http://schemas.microsoft.com/office/spreadsheetml/2017/richdata2" ref="I11:J17">
    <sortCondition descending="1" ref="J11:J17"/>
  </sortState>
  <mergeCells count="2">
    <mergeCell ref="F9:G9"/>
    <mergeCell ref="I9:J9"/>
  </mergeCells>
  <conditionalFormatting sqref="G10:G17">
    <cfRule type="dataBar" priority="4">
      <dataBar>
        <cfvo type="min"/>
        <cfvo type="max"/>
        <color rgb="FF63C384"/>
      </dataBar>
      <extLst>
        <ext xmlns:x14="http://schemas.microsoft.com/office/spreadsheetml/2009/9/main" uri="{B025F937-C7B1-47D3-B67F-A62EFF666E3E}">
          <x14:id>{A1B05CDB-42A5-4665-BFE3-FFE266400BD8}</x14:id>
        </ext>
      </extLst>
    </cfRule>
  </conditionalFormatting>
  <conditionalFormatting sqref="H11:H17">
    <cfRule type="dataBar" priority="3">
      <dataBar>
        <cfvo type="min"/>
        <cfvo type="max"/>
        <color rgb="FF008AEF"/>
      </dataBar>
      <extLst>
        <ext xmlns:x14="http://schemas.microsoft.com/office/spreadsheetml/2009/9/main" uri="{B025F937-C7B1-47D3-B67F-A62EFF666E3E}">
          <x14:id>{E76CE9BF-5B66-451E-8946-C1A8224A58BD}</x14:id>
        </ext>
      </extLst>
    </cfRule>
  </conditionalFormatting>
  <conditionalFormatting sqref="J11:J17">
    <cfRule type="dataBar" priority="2">
      <dataBar>
        <cfvo type="min"/>
        <cfvo type="max"/>
        <color rgb="FF638EC6"/>
      </dataBar>
      <extLst>
        <ext xmlns:x14="http://schemas.microsoft.com/office/spreadsheetml/2009/9/main" uri="{B025F937-C7B1-47D3-B67F-A62EFF666E3E}">
          <x14:id>{1C8BAB62-D573-44B5-92FF-6AA3DEE1148D}</x14:id>
        </ext>
      </extLst>
    </cfRule>
  </conditionalFormatting>
  <conditionalFormatting sqref="M11:M17">
    <cfRule type="dataBar" priority="1">
      <dataBar>
        <cfvo type="min"/>
        <cfvo type="max"/>
        <color rgb="FF638EC6"/>
      </dataBar>
      <extLst>
        <ext xmlns:x14="http://schemas.microsoft.com/office/spreadsheetml/2009/9/main" uri="{B025F937-C7B1-47D3-B67F-A62EFF666E3E}">
          <x14:id>{2932247F-6701-4ED2-BE69-2F294083A483}</x14:id>
        </ext>
      </extLst>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dataBar" id="{A1B05CDB-42A5-4665-BFE3-FFE266400BD8}">
            <x14:dataBar minLength="0" maxLength="100" border="1" negativeBarBorderColorSameAsPositive="0">
              <x14:cfvo type="autoMin"/>
              <x14:cfvo type="autoMax"/>
              <x14:borderColor rgb="FF63C384"/>
              <x14:negativeFillColor rgb="FFFF0000"/>
              <x14:negativeBorderColor rgb="FFFF0000"/>
              <x14:axisColor rgb="FF000000"/>
            </x14:dataBar>
          </x14:cfRule>
          <xm:sqref>G10:G17</xm:sqref>
        </x14:conditionalFormatting>
        <x14:conditionalFormatting xmlns:xm="http://schemas.microsoft.com/office/excel/2006/main">
          <x14:cfRule type="dataBar" id="{E76CE9BF-5B66-451E-8946-C1A8224A58BD}">
            <x14:dataBar minLength="0" maxLength="100" border="1" negativeBarBorderColorSameAsPositive="0">
              <x14:cfvo type="autoMin"/>
              <x14:cfvo type="autoMax"/>
              <x14:borderColor rgb="FF008AEF"/>
              <x14:negativeFillColor rgb="FFFF0000"/>
              <x14:negativeBorderColor rgb="FFFF0000"/>
              <x14:axisColor rgb="FF000000"/>
            </x14:dataBar>
          </x14:cfRule>
          <xm:sqref>H11:H17</xm:sqref>
        </x14:conditionalFormatting>
        <x14:conditionalFormatting xmlns:xm="http://schemas.microsoft.com/office/excel/2006/main">
          <x14:cfRule type="dataBar" id="{1C8BAB62-D573-44B5-92FF-6AA3DEE1148D}">
            <x14:dataBar minLength="0" maxLength="100" border="1" negativeBarBorderColorSameAsPositive="0">
              <x14:cfvo type="autoMin"/>
              <x14:cfvo type="autoMax"/>
              <x14:borderColor rgb="FF638EC6"/>
              <x14:negativeFillColor rgb="FFFF0000"/>
              <x14:negativeBorderColor rgb="FFFF0000"/>
              <x14:axisColor rgb="FF000000"/>
            </x14:dataBar>
          </x14:cfRule>
          <xm:sqref>J11:J17</xm:sqref>
        </x14:conditionalFormatting>
        <x14:conditionalFormatting xmlns:xm="http://schemas.microsoft.com/office/excel/2006/main">
          <x14:cfRule type="dataBar" id="{2932247F-6701-4ED2-BE69-2F294083A483}">
            <x14:dataBar minLength="0" maxLength="100" border="1" negativeBarBorderColorSameAsPositive="0">
              <x14:cfvo type="autoMin"/>
              <x14:cfvo type="autoMax"/>
              <x14:borderColor rgb="FF638EC6"/>
              <x14:negativeFillColor rgb="FFFF0000"/>
              <x14:negativeBorderColor rgb="FFFF0000"/>
              <x14:axisColor rgb="FF000000"/>
            </x14:dataBar>
          </x14:cfRule>
          <xm:sqref>M11:M17</xm:sqref>
        </x14:conditionalFormatting>
      </x14:conditionalFormattings>
    </ex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46EB4-60DC-4D08-9F60-BFE0FA9CC909}">
  <dimension ref="A1:B4"/>
  <sheetViews>
    <sheetView workbookViewId="0">
      <selection activeCell="B3" sqref="B3"/>
    </sheetView>
  </sheetViews>
  <sheetFormatPr defaultRowHeight="14.4" x14ac:dyDescent="0.3"/>
  <cols>
    <col min="1" max="1" width="17.5546875" bestFit="1" customWidth="1"/>
  </cols>
  <sheetData>
    <row r="1" spans="1:2" x14ac:dyDescent="0.3">
      <c r="A1" t="s">
        <v>118</v>
      </c>
      <c r="B1">
        <f>COUNTA(Excel_jumia!A2:A113)</f>
        <v>112</v>
      </c>
    </row>
    <row r="2" spans="1:2" x14ac:dyDescent="0.3">
      <c r="A2" t="s">
        <v>120</v>
      </c>
      <c r="B2">
        <f>ROUND(AVERAGE(Excel_jumia!G2:G113),2)</f>
        <v>3.89</v>
      </c>
    </row>
    <row r="3" spans="1:2" x14ac:dyDescent="0.3">
      <c r="A3" t="s">
        <v>119</v>
      </c>
      <c r="B3" s="1">
        <f>AVERAGE(Excel_jumia!E2:E113)</f>
        <v>0.36776785714285715</v>
      </c>
    </row>
    <row r="4" spans="1:2" x14ac:dyDescent="0.3">
      <c r="A4" t="s">
        <v>121</v>
      </c>
      <c r="B4">
        <f>SUM(Excel_jumia!F2:F113)</f>
        <v>723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D614A-58A3-4D4C-946A-27E71638F1CC}">
  <dimension ref="A1:B113"/>
  <sheetViews>
    <sheetView workbookViewId="0">
      <selection activeCell="A3" sqref="A3"/>
    </sheetView>
  </sheetViews>
  <sheetFormatPr defaultRowHeight="14.4" x14ac:dyDescent="0.3"/>
  <cols>
    <col min="1" max="1" width="87.88671875" bestFit="1" customWidth="1"/>
    <col min="2" max="2" width="12.77734375" bestFit="1" customWidth="1"/>
  </cols>
  <sheetData>
    <row r="1" spans="1:2" x14ac:dyDescent="0.3">
      <c r="A1" s="4" t="s">
        <v>114</v>
      </c>
      <c r="B1" t="s">
        <v>125</v>
      </c>
    </row>
    <row r="3" spans="1:2" x14ac:dyDescent="0.3">
      <c r="A3" s="4" t="s">
        <v>122</v>
      </c>
      <c r="B3" t="s">
        <v>124</v>
      </c>
    </row>
    <row r="4" spans="1:2" x14ac:dyDescent="0.3">
      <c r="A4" s="5" t="s">
        <v>43</v>
      </c>
      <c r="B4" s="6">
        <v>4.5</v>
      </c>
    </row>
    <row r="5" spans="1:2" x14ac:dyDescent="0.3">
      <c r="A5" s="5" t="s">
        <v>16</v>
      </c>
      <c r="B5" s="6">
        <v>4.7</v>
      </c>
    </row>
    <row r="6" spans="1:2" x14ac:dyDescent="0.3">
      <c r="A6" s="5" t="s">
        <v>5</v>
      </c>
      <c r="B6" s="6">
        <v>4.5</v>
      </c>
    </row>
    <row r="7" spans="1:2" x14ac:dyDescent="0.3">
      <c r="A7" s="5" t="s">
        <v>32</v>
      </c>
      <c r="B7" s="6">
        <v>3.8</v>
      </c>
    </row>
    <row r="8" spans="1:2" x14ac:dyDescent="0.3">
      <c r="A8" s="5" t="s">
        <v>36</v>
      </c>
      <c r="B8" s="6">
        <v>4.7</v>
      </c>
    </row>
    <row r="9" spans="1:2" x14ac:dyDescent="0.3">
      <c r="A9" s="5" t="s">
        <v>66</v>
      </c>
      <c r="B9" s="6">
        <v>2.8</v>
      </c>
    </row>
    <row r="10" spans="1:2" x14ac:dyDescent="0.3">
      <c r="A10" s="5" t="s">
        <v>62</v>
      </c>
      <c r="B10" s="6"/>
    </row>
    <row r="11" spans="1:2" x14ac:dyDescent="0.3">
      <c r="A11" s="5" t="s">
        <v>14</v>
      </c>
      <c r="B11" s="6">
        <v>3.8</v>
      </c>
    </row>
    <row r="12" spans="1:2" x14ac:dyDescent="0.3">
      <c r="A12" s="5" t="s">
        <v>11</v>
      </c>
      <c r="B12" s="6">
        <v>4.5999999999999996</v>
      </c>
    </row>
    <row r="13" spans="1:2" x14ac:dyDescent="0.3">
      <c r="A13" s="5" t="s">
        <v>106</v>
      </c>
      <c r="B13" s="6"/>
    </row>
    <row r="14" spans="1:2" x14ac:dyDescent="0.3">
      <c r="A14" s="5" t="s">
        <v>85</v>
      </c>
      <c r="B14" s="6"/>
    </row>
    <row r="15" spans="1:2" x14ac:dyDescent="0.3">
      <c r="A15" s="5" t="s">
        <v>10</v>
      </c>
      <c r="B15" s="6">
        <v>4</v>
      </c>
    </row>
    <row r="16" spans="1:2" x14ac:dyDescent="0.3">
      <c r="A16" s="5" t="s">
        <v>105</v>
      </c>
      <c r="B16" s="6"/>
    </row>
    <row r="17" spans="1:2" x14ac:dyDescent="0.3">
      <c r="A17" s="5" t="s">
        <v>96</v>
      </c>
      <c r="B17" s="6"/>
    </row>
    <row r="18" spans="1:2" x14ac:dyDescent="0.3">
      <c r="A18" s="5" t="s">
        <v>52</v>
      </c>
      <c r="B18" s="6"/>
    </row>
    <row r="19" spans="1:2" x14ac:dyDescent="0.3">
      <c r="A19" s="5" t="s">
        <v>78</v>
      </c>
      <c r="B19" s="6"/>
    </row>
    <row r="20" spans="1:2" x14ac:dyDescent="0.3">
      <c r="A20" s="5" t="s">
        <v>71</v>
      </c>
      <c r="B20" s="6">
        <v>3</v>
      </c>
    </row>
    <row r="21" spans="1:2" x14ac:dyDescent="0.3">
      <c r="A21" s="5" t="s">
        <v>70</v>
      </c>
      <c r="B21" s="6">
        <v>2.2999999999999998</v>
      </c>
    </row>
    <row r="22" spans="1:2" x14ac:dyDescent="0.3">
      <c r="A22" s="5" t="s">
        <v>24</v>
      </c>
      <c r="B22" s="6">
        <v>4.5999999999999996</v>
      </c>
    </row>
    <row r="23" spans="1:2" x14ac:dyDescent="0.3">
      <c r="A23" s="5" t="s">
        <v>79</v>
      </c>
      <c r="B23" s="6"/>
    </row>
    <row r="24" spans="1:2" x14ac:dyDescent="0.3">
      <c r="A24" s="5" t="s">
        <v>25</v>
      </c>
      <c r="B24" s="6">
        <v>3.3</v>
      </c>
    </row>
    <row r="25" spans="1:2" x14ac:dyDescent="0.3">
      <c r="A25" s="5" t="s">
        <v>99</v>
      </c>
      <c r="B25" s="6"/>
    </row>
    <row r="26" spans="1:2" x14ac:dyDescent="0.3">
      <c r="A26" s="5" t="s">
        <v>17</v>
      </c>
      <c r="B26" s="6">
        <v>4.8</v>
      </c>
    </row>
    <row r="27" spans="1:2" x14ac:dyDescent="0.3">
      <c r="A27" s="5" t="s">
        <v>45</v>
      </c>
      <c r="B27" s="6"/>
    </row>
    <row r="28" spans="1:2" x14ac:dyDescent="0.3">
      <c r="A28" s="5" t="s">
        <v>26</v>
      </c>
      <c r="B28" s="6"/>
    </row>
    <row r="29" spans="1:2" x14ac:dyDescent="0.3">
      <c r="A29" s="5" t="s">
        <v>63</v>
      </c>
      <c r="B29" s="6">
        <v>2.5</v>
      </c>
    </row>
    <row r="30" spans="1:2" x14ac:dyDescent="0.3">
      <c r="A30" s="5" t="s">
        <v>33</v>
      </c>
      <c r="B30" s="6">
        <v>4.0999999999999996</v>
      </c>
    </row>
    <row r="31" spans="1:2" x14ac:dyDescent="0.3">
      <c r="A31" s="5" t="s">
        <v>39</v>
      </c>
      <c r="B31" s="6">
        <v>4.5</v>
      </c>
    </row>
    <row r="32" spans="1:2" x14ac:dyDescent="0.3">
      <c r="A32" s="5" t="s">
        <v>38</v>
      </c>
      <c r="B32" s="6">
        <v>4.7</v>
      </c>
    </row>
    <row r="33" spans="1:2" x14ac:dyDescent="0.3">
      <c r="A33" s="5" t="s">
        <v>84</v>
      </c>
      <c r="B33" s="6"/>
    </row>
    <row r="34" spans="1:2" x14ac:dyDescent="0.3">
      <c r="A34" s="5" t="s">
        <v>65</v>
      </c>
      <c r="B34" s="6">
        <v>2.1</v>
      </c>
    </row>
    <row r="35" spans="1:2" x14ac:dyDescent="0.3">
      <c r="A35" s="5" t="s">
        <v>111</v>
      </c>
      <c r="B35" s="6"/>
    </row>
    <row r="36" spans="1:2" x14ac:dyDescent="0.3">
      <c r="A36" s="5" t="s">
        <v>95</v>
      </c>
      <c r="B36" s="6"/>
    </row>
    <row r="37" spans="1:2" x14ac:dyDescent="0.3">
      <c r="A37" s="5" t="s">
        <v>50</v>
      </c>
      <c r="B37" s="6"/>
    </row>
    <row r="38" spans="1:2" x14ac:dyDescent="0.3">
      <c r="A38" s="5" t="s">
        <v>81</v>
      </c>
      <c r="B38" s="6"/>
    </row>
    <row r="39" spans="1:2" x14ac:dyDescent="0.3">
      <c r="A39" s="5" t="s">
        <v>76</v>
      </c>
      <c r="B39" s="6">
        <v>2.2000000000000002</v>
      </c>
    </row>
    <row r="40" spans="1:2" x14ac:dyDescent="0.3">
      <c r="A40" s="5" t="s">
        <v>102</v>
      </c>
      <c r="B40" s="6"/>
    </row>
    <row r="41" spans="1:2" x14ac:dyDescent="0.3">
      <c r="A41" s="5" t="s">
        <v>104</v>
      </c>
      <c r="B41" s="6"/>
    </row>
    <row r="42" spans="1:2" x14ac:dyDescent="0.3">
      <c r="A42" s="5" t="s">
        <v>72</v>
      </c>
      <c r="B42" s="6">
        <v>2.6</v>
      </c>
    </row>
    <row r="43" spans="1:2" x14ac:dyDescent="0.3">
      <c r="A43" s="5" t="s">
        <v>61</v>
      </c>
      <c r="B43" s="6"/>
    </row>
    <row r="44" spans="1:2" x14ac:dyDescent="0.3">
      <c r="A44" s="5" t="s">
        <v>20</v>
      </c>
      <c r="B44" s="6">
        <v>5</v>
      </c>
    </row>
    <row r="45" spans="1:2" x14ac:dyDescent="0.3">
      <c r="A45" s="5" t="s">
        <v>69</v>
      </c>
      <c r="B45" s="6">
        <v>2.2000000000000002</v>
      </c>
    </row>
    <row r="46" spans="1:2" x14ac:dyDescent="0.3">
      <c r="A46" s="5" t="s">
        <v>101</v>
      </c>
      <c r="B46" s="6"/>
    </row>
    <row r="47" spans="1:2" x14ac:dyDescent="0.3">
      <c r="A47" s="5" t="s">
        <v>47</v>
      </c>
      <c r="B47" s="6"/>
    </row>
    <row r="48" spans="1:2" x14ac:dyDescent="0.3">
      <c r="A48" s="5" t="s">
        <v>83</v>
      </c>
      <c r="B48" s="6">
        <v>5</v>
      </c>
    </row>
    <row r="49" spans="1:2" x14ac:dyDescent="0.3">
      <c r="A49" s="5" t="s">
        <v>113</v>
      </c>
      <c r="B49" s="6"/>
    </row>
    <row r="50" spans="1:2" x14ac:dyDescent="0.3">
      <c r="A50" s="5" t="s">
        <v>54</v>
      </c>
      <c r="B50" s="6"/>
    </row>
    <row r="51" spans="1:2" x14ac:dyDescent="0.3">
      <c r="A51" s="5" t="s">
        <v>51</v>
      </c>
      <c r="B51" s="6"/>
    </row>
    <row r="52" spans="1:2" x14ac:dyDescent="0.3">
      <c r="A52" s="5" t="s">
        <v>88</v>
      </c>
      <c r="B52" s="6"/>
    </row>
    <row r="53" spans="1:2" x14ac:dyDescent="0.3">
      <c r="A53" s="5" t="s">
        <v>108</v>
      </c>
      <c r="B53" s="6"/>
    </row>
    <row r="54" spans="1:2" x14ac:dyDescent="0.3">
      <c r="A54" s="5" t="s">
        <v>49</v>
      </c>
      <c r="B54" s="6"/>
    </row>
    <row r="55" spans="1:2" x14ac:dyDescent="0.3">
      <c r="A55" s="5" t="s">
        <v>60</v>
      </c>
      <c r="B55" s="6"/>
    </row>
    <row r="56" spans="1:2" x14ac:dyDescent="0.3">
      <c r="A56" s="5" t="s">
        <v>41</v>
      </c>
      <c r="B56" s="6">
        <v>5</v>
      </c>
    </row>
    <row r="57" spans="1:2" x14ac:dyDescent="0.3">
      <c r="A57" s="5" t="s">
        <v>53</v>
      </c>
      <c r="B57" s="6"/>
    </row>
    <row r="58" spans="1:2" x14ac:dyDescent="0.3">
      <c r="A58" s="5" t="s">
        <v>80</v>
      </c>
      <c r="B58" s="6"/>
    </row>
    <row r="59" spans="1:2" x14ac:dyDescent="0.3">
      <c r="A59" s="5" t="s">
        <v>58</v>
      </c>
      <c r="B59" s="6"/>
    </row>
    <row r="60" spans="1:2" x14ac:dyDescent="0.3">
      <c r="A60" s="5" t="s">
        <v>12</v>
      </c>
      <c r="B60" s="6">
        <v>4</v>
      </c>
    </row>
    <row r="61" spans="1:2" x14ac:dyDescent="0.3">
      <c r="A61" s="5" t="s">
        <v>40</v>
      </c>
      <c r="B61" s="6">
        <v>5</v>
      </c>
    </row>
    <row r="62" spans="1:2" x14ac:dyDescent="0.3">
      <c r="A62" s="5" t="s">
        <v>77</v>
      </c>
      <c r="B62" s="6">
        <v>2.1</v>
      </c>
    </row>
    <row r="63" spans="1:2" x14ac:dyDescent="0.3">
      <c r="A63" s="5" t="s">
        <v>30</v>
      </c>
      <c r="B63" s="6">
        <v>4.5999999999999996</v>
      </c>
    </row>
    <row r="64" spans="1:2" x14ac:dyDescent="0.3">
      <c r="A64" s="5" t="s">
        <v>35</v>
      </c>
      <c r="B64" s="6">
        <v>4.3</v>
      </c>
    </row>
    <row r="65" spans="1:2" x14ac:dyDescent="0.3">
      <c r="A65" s="5" t="s">
        <v>28</v>
      </c>
      <c r="B65" s="6">
        <v>4.4000000000000004</v>
      </c>
    </row>
    <row r="66" spans="1:2" x14ac:dyDescent="0.3">
      <c r="A66" s="5" t="s">
        <v>15</v>
      </c>
      <c r="B66" s="6">
        <v>4.0999999999999996</v>
      </c>
    </row>
    <row r="67" spans="1:2" x14ac:dyDescent="0.3">
      <c r="A67" s="5" t="s">
        <v>86</v>
      </c>
      <c r="B67" s="6">
        <v>4</v>
      </c>
    </row>
    <row r="68" spans="1:2" x14ac:dyDescent="0.3">
      <c r="A68" s="5" t="s">
        <v>67</v>
      </c>
      <c r="B68" s="6">
        <v>2.7</v>
      </c>
    </row>
    <row r="69" spans="1:2" x14ac:dyDescent="0.3">
      <c r="A69" s="5" t="s">
        <v>103</v>
      </c>
      <c r="B69" s="6">
        <v>5</v>
      </c>
    </row>
    <row r="70" spans="1:2" x14ac:dyDescent="0.3">
      <c r="A70" s="5" t="s">
        <v>73</v>
      </c>
      <c r="B70" s="6">
        <v>3</v>
      </c>
    </row>
    <row r="71" spans="1:2" x14ac:dyDescent="0.3">
      <c r="A71" s="5" t="s">
        <v>29</v>
      </c>
      <c r="B71" s="6">
        <v>4.3</v>
      </c>
    </row>
    <row r="72" spans="1:2" x14ac:dyDescent="0.3">
      <c r="A72" s="5" t="s">
        <v>22</v>
      </c>
      <c r="B72" s="6">
        <v>5</v>
      </c>
    </row>
    <row r="73" spans="1:2" x14ac:dyDescent="0.3">
      <c r="A73" s="5" t="s">
        <v>18</v>
      </c>
      <c r="B73" s="6">
        <v>4.5</v>
      </c>
    </row>
    <row r="74" spans="1:2" x14ac:dyDescent="0.3">
      <c r="A74" s="5" t="s">
        <v>13</v>
      </c>
      <c r="B74" s="6">
        <v>4.8</v>
      </c>
    </row>
    <row r="75" spans="1:2" x14ac:dyDescent="0.3">
      <c r="A75" s="5" t="s">
        <v>44</v>
      </c>
      <c r="B75" s="6"/>
    </row>
    <row r="76" spans="1:2" x14ac:dyDescent="0.3">
      <c r="A76" s="5" t="s">
        <v>37</v>
      </c>
      <c r="B76" s="6">
        <v>4.3</v>
      </c>
    </row>
    <row r="77" spans="1:2" x14ac:dyDescent="0.3">
      <c r="A77" s="5" t="s">
        <v>27</v>
      </c>
      <c r="B77" s="6">
        <v>4</v>
      </c>
    </row>
    <row r="78" spans="1:2" x14ac:dyDescent="0.3">
      <c r="A78" s="5" t="s">
        <v>107</v>
      </c>
      <c r="B78" s="6"/>
    </row>
    <row r="79" spans="1:2" x14ac:dyDescent="0.3">
      <c r="A79" s="5" t="s">
        <v>23</v>
      </c>
      <c r="B79" s="6">
        <v>4.5999999999999996</v>
      </c>
    </row>
    <row r="80" spans="1:2" x14ac:dyDescent="0.3">
      <c r="A80" s="5" t="s">
        <v>82</v>
      </c>
      <c r="B80" s="6">
        <v>3</v>
      </c>
    </row>
    <row r="81" spans="1:2" x14ac:dyDescent="0.3">
      <c r="A81" s="5" t="s">
        <v>6</v>
      </c>
      <c r="B81" s="6">
        <v>4.0999999999999996</v>
      </c>
    </row>
    <row r="82" spans="1:2" x14ac:dyDescent="0.3">
      <c r="A82" s="5" t="s">
        <v>100</v>
      </c>
      <c r="B82" s="6"/>
    </row>
    <row r="83" spans="1:2" x14ac:dyDescent="0.3">
      <c r="A83" s="5" t="s">
        <v>46</v>
      </c>
      <c r="B83" s="6"/>
    </row>
    <row r="84" spans="1:2" x14ac:dyDescent="0.3">
      <c r="A84" s="5" t="s">
        <v>19</v>
      </c>
      <c r="B84" s="6">
        <v>4.2</v>
      </c>
    </row>
    <row r="85" spans="1:2" x14ac:dyDescent="0.3">
      <c r="A85" s="5" t="s">
        <v>91</v>
      </c>
      <c r="B85" s="6"/>
    </row>
    <row r="86" spans="1:2" x14ac:dyDescent="0.3">
      <c r="A86" s="5" t="s">
        <v>34</v>
      </c>
      <c r="B86" s="6"/>
    </row>
    <row r="87" spans="1:2" x14ac:dyDescent="0.3">
      <c r="A87" s="5" t="s">
        <v>57</v>
      </c>
      <c r="B87" s="6"/>
    </row>
    <row r="88" spans="1:2" x14ac:dyDescent="0.3">
      <c r="A88" s="5" t="s">
        <v>64</v>
      </c>
      <c r="B88" s="6">
        <v>3</v>
      </c>
    </row>
    <row r="89" spans="1:2" x14ac:dyDescent="0.3">
      <c r="A89" s="5" t="s">
        <v>87</v>
      </c>
      <c r="B89" s="6"/>
    </row>
    <row r="90" spans="1:2" x14ac:dyDescent="0.3">
      <c r="A90" s="5" t="s">
        <v>89</v>
      </c>
      <c r="B90" s="6"/>
    </row>
    <row r="91" spans="1:2" x14ac:dyDescent="0.3">
      <c r="A91" s="5" t="s">
        <v>21</v>
      </c>
      <c r="B91" s="6">
        <v>5</v>
      </c>
    </row>
    <row r="92" spans="1:2" x14ac:dyDescent="0.3">
      <c r="A92" s="5" t="s">
        <v>55</v>
      </c>
      <c r="B92" s="6"/>
    </row>
    <row r="93" spans="1:2" x14ac:dyDescent="0.3">
      <c r="A93" s="5" t="s">
        <v>56</v>
      </c>
      <c r="B93" s="6"/>
    </row>
    <row r="94" spans="1:2" x14ac:dyDescent="0.3">
      <c r="A94" s="5" t="s">
        <v>9</v>
      </c>
      <c r="B94" s="6">
        <v>4.8</v>
      </c>
    </row>
    <row r="95" spans="1:2" x14ac:dyDescent="0.3">
      <c r="A95" s="5" t="s">
        <v>7</v>
      </c>
      <c r="B95" s="6">
        <v>4.5999999999999996</v>
      </c>
    </row>
    <row r="96" spans="1:2" x14ac:dyDescent="0.3">
      <c r="A96" s="5" t="s">
        <v>98</v>
      </c>
      <c r="B96" s="6"/>
    </row>
    <row r="97" spans="1:2" x14ac:dyDescent="0.3">
      <c r="A97" s="5" t="s">
        <v>31</v>
      </c>
      <c r="B97" s="6">
        <v>3.8</v>
      </c>
    </row>
    <row r="98" spans="1:2" x14ac:dyDescent="0.3">
      <c r="A98" s="5" t="s">
        <v>93</v>
      </c>
      <c r="B98" s="6"/>
    </row>
    <row r="99" spans="1:2" x14ac:dyDescent="0.3">
      <c r="A99" s="5" t="s">
        <v>42</v>
      </c>
      <c r="B99" s="6">
        <v>4.3</v>
      </c>
    </row>
    <row r="100" spans="1:2" x14ac:dyDescent="0.3">
      <c r="A100" s="5" t="s">
        <v>94</v>
      </c>
      <c r="B100" s="6"/>
    </row>
    <row r="101" spans="1:2" x14ac:dyDescent="0.3">
      <c r="A101" s="5" t="s">
        <v>48</v>
      </c>
      <c r="B101" s="6"/>
    </row>
    <row r="102" spans="1:2" x14ac:dyDescent="0.3">
      <c r="A102" s="5" t="s">
        <v>109</v>
      </c>
      <c r="B102" s="6"/>
    </row>
    <row r="103" spans="1:2" x14ac:dyDescent="0.3">
      <c r="A103" s="5" t="s">
        <v>59</v>
      </c>
      <c r="B103" s="6"/>
    </row>
    <row r="104" spans="1:2" x14ac:dyDescent="0.3">
      <c r="A104" s="5" t="s">
        <v>110</v>
      </c>
      <c r="B104" s="6"/>
    </row>
    <row r="105" spans="1:2" x14ac:dyDescent="0.3">
      <c r="A105" s="5" t="s">
        <v>68</v>
      </c>
      <c r="B105" s="6">
        <v>2.9</v>
      </c>
    </row>
    <row r="106" spans="1:2" x14ac:dyDescent="0.3">
      <c r="A106" s="5" t="s">
        <v>92</v>
      </c>
      <c r="B106" s="6"/>
    </row>
    <row r="107" spans="1:2" x14ac:dyDescent="0.3">
      <c r="A107" s="5" t="s">
        <v>97</v>
      </c>
      <c r="B107" s="6"/>
    </row>
    <row r="108" spans="1:2" x14ac:dyDescent="0.3">
      <c r="A108" s="5" t="s">
        <v>112</v>
      </c>
      <c r="B108" s="6">
        <v>2</v>
      </c>
    </row>
    <row r="109" spans="1:2" x14ac:dyDescent="0.3">
      <c r="A109" s="5" t="s">
        <v>90</v>
      </c>
      <c r="B109" s="6"/>
    </row>
    <row r="110" spans="1:2" x14ac:dyDescent="0.3">
      <c r="A110" s="5" t="s">
        <v>74</v>
      </c>
      <c r="B110" s="6">
        <v>2.2999999999999998</v>
      </c>
    </row>
    <row r="111" spans="1:2" x14ac:dyDescent="0.3">
      <c r="A111" s="5" t="s">
        <v>8</v>
      </c>
      <c r="B111" s="6">
        <v>4.7</v>
      </c>
    </row>
    <row r="112" spans="1:2" x14ac:dyDescent="0.3">
      <c r="A112" s="5" t="s">
        <v>75</v>
      </c>
      <c r="B112" s="6">
        <v>3</v>
      </c>
    </row>
    <row r="113" spans="1:2" x14ac:dyDescent="0.3">
      <c r="A113" s="5" t="s">
        <v>123</v>
      </c>
      <c r="B113" s="6">
        <v>221.70000000000002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D5379-B360-446B-952C-92235A8DC739}">
  <dimension ref="A1:I19"/>
  <sheetViews>
    <sheetView workbookViewId="0">
      <selection activeCell="A12" sqref="A12"/>
    </sheetView>
  </sheetViews>
  <sheetFormatPr defaultRowHeight="14.4" x14ac:dyDescent="0.3"/>
  <cols>
    <col min="1" max="1" width="63.77734375" bestFit="1" customWidth="1"/>
    <col min="2" max="2" width="6.77734375" bestFit="1" customWidth="1"/>
    <col min="3" max="3" width="13.21875" bestFit="1" customWidth="1"/>
    <col min="7" max="7" width="63.77734375" bestFit="1" customWidth="1"/>
    <col min="9" max="9" width="2" bestFit="1" customWidth="1"/>
  </cols>
  <sheetData>
    <row r="1" spans="1:9" x14ac:dyDescent="0.3">
      <c r="A1" s="4" t="s">
        <v>114</v>
      </c>
      <c r="B1" s="5">
        <v>5</v>
      </c>
    </row>
    <row r="3" spans="1:9" x14ac:dyDescent="0.3">
      <c r="A3" s="4" t="s">
        <v>0</v>
      </c>
      <c r="B3" t="s">
        <v>133</v>
      </c>
      <c r="C3" t="s">
        <v>134</v>
      </c>
    </row>
    <row r="4" spans="1:9" x14ac:dyDescent="0.3">
      <c r="A4" s="5" t="s">
        <v>20</v>
      </c>
      <c r="B4" s="6">
        <v>5</v>
      </c>
      <c r="C4" s="6">
        <v>2</v>
      </c>
    </row>
    <row r="5" spans="1:9" x14ac:dyDescent="0.3">
      <c r="A5" s="5" t="s">
        <v>83</v>
      </c>
      <c r="B5" s="6">
        <v>5</v>
      </c>
      <c r="C5" s="6">
        <v>1</v>
      </c>
    </row>
    <row r="6" spans="1:9" x14ac:dyDescent="0.3">
      <c r="A6" s="5" t="s">
        <v>41</v>
      </c>
      <c r="B6" s="6">
        <v>5</v>
      </c>
      <c r="C6" s="6">
        <v>2</v>
      </c>
    </row>
    <row r="7" spans="1:9" x14ac:dyDescent="0.3">
      <c r="A7" s="5" t="s">
        <v>40</v>
      </c>
      <c r="B7" s="6">
        <v>5</v>
      </c>
      <c r="C7" s="6">
        <v>1</v>
      </c>
    </row>
    <row r="8" spans="1:9" x14ac:dyDescent="0.3">
      <c r="A8" s="5" t="s">
        <v>103</v>
      </c>
      <c r="B8" s="6">
        <v>5</v>
      </c>
      <c r="C8" s="6">
        <v>1</v>
      </c>
    </row>
    <row r="9" spans="1:9" x14ac:dyDescent="0.3">
      <c r="A9" s="5" t="s">
        <v>22</v>
      </c>
      <c r="B9" s="6">
        <v>5</v>
      </c>
      <c r="C9" s="6">
        <v>3</v>
      </c>
    </row>
    <row r="10" spans="1:9" x14ac:dyDescent="0.3">
      <c r="A10" s="5" t="s">
        <v>21</v>
      </c>
      <c r="B10" s="6">
        <v>5</v>
      </c>
      <c r="C10" s="6">
        <v>2</v>
      </c>
    </row>
    <row r="11" spans="1:9" x14ac:dyDescent="0.3">
      <c r="A11" s="5" t="s">
        <v>123</v>
      </c>
      <c r="B11" s="6">
        <v>35</v>
      </c>
      <c r="C11" s="6">
        <v>12</v>
      </c>
    </row>
    <row r="12" spans="1:9" x14ac:dyDescent="0.3">
      <c r="G12" t="str">
        <f>A4</f>
        <v>Anti-Skid Absorbent Insulation Coaster  For Home Office</v>
      </c>
      <c r="H12">
        <f t="shared" ref="H12:I12" si="0">B4</f>
        <v>5</v>
      </c>
      <c r="I12">
        <f t="shared" si="0"/>
        <v>2</v>
      </c>
    </row>
    <row r="13" spans="1:9" x14ac:dyDescent="0.3">
      <c r="G13" t="str">
        <f t="shared" ref="G13:G19" si="1">A5</f>
        <v>Bedroom Simple Floor Hanging Clothes Rack Single Pole Hat Rack - White</v>
      </c>
    </row>
    <row r="14" spans="1:9" x14ac:dyDescent="0.3">
      <c r="G14" t="str">
        <f t="shared" si="1"/>
        <v>Classic Black Cat Cotton Hemp Pillow Case For Home Car</v>
      </c>
    </row>
    <row r="15" spans="1:9" x14ac:dyDescent="0.3">
      <c r="G15" t="str">
        <f t="shared" si="1"/>
        <v>DIY File Folder, Office Drawer File Holder, Pen Holder, Desktop Storage Rack</v>
      </c>
    </row>
    <row r="16" spans="1:9" x14ac:dyDescent="0.3">
      <c r="G16" t="str">
        <f t="shared" si="1"/>
        <v>Konka Healty Electric Kettle, 24-hour Heat Preservation,1.5L,800W, White</v>
      </c>
    </row>
    <row r="17" spans="7:7" x14ac:dyDescent="0.3">
      <c r="G17" t="str">
        <f t="shared" si="1"/>
        <v>LASA Aluminum Folding Truck Hand Cart - 68kg Max</v>
      </c>
    </row>
    <row r="18" spans="7:7" x14ac:dyDescent="0.3">
      <c r="G18" t="str">
        <f t="shared" si="1"/>
        <v>Peacock  Throw Pillow Cushion Case For Home Car</v>
      </c>
    </row>
    <row r="19" spans="7:7" x14ac:dyDescent="0.3">
      <c r="G19" t="str">
        <f t="shared" si="1"/>
        <v>Grand Total</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DF363-4DB9-4988-84B8-BE08A6DC5562}">
  <dimension ref="A1:F18"/>
  <sheetViews>
    <sheetView workbookViewId="0">
      <selection activeCell="H25" sqref="H25"/>
    </sheetView>
  </sheetViews>
  <sheetFormatPr defaultRowHeight="14.4" x14ac:dyDescent="0.3"/>
  <cols>
    <col min="1" max="1" width="61" bestFit="1" customWidth="1"/>
    <col min="2" max="2" width="16.109375" bestFit="1" customWidth="1"/>
    <col min="3" max="3" width="5.88671875" bestFit="1" customWidth="1"/>
    <col min="5" max="5" width="61" bestFit="1" customWidth="1"/>
    <col min="6" max="6" width="9.109375" customWidth="1"/>
  </cols>
  <sheetData>
    <row r="1" spans="1:6" x14ac:dyDescent="0.3">
      <c r="A1" s="4" t="s">
        <v>4</v>
      </c>
      <c r="B1" t="s">
        <v>129</v>
      </c>
    </row>
    <row r="3" spans="1:6" x14ac:dyDescent="0.3">
      <c r="A3" s="4" t="s">
        <v>137</v>
      </c>
      <c r="B3" t="s">
        <v>138</v>
      </c>
    </row>
    <row r="4" spans="1:6" x14ac:dyDescent="0.3">
      <c r="A4" s="5" t="s">
        <v>16</v>
      </c>
      <c r="B4" s="6">
        <v>39</v>
      </c>
      <c r="E4" t="str">
        <f>A4</f>
        <v>100 Pcs Crochet Hook Tool Set Knitting Hook Set With Box</v>
      </c>
      <c r="F4">
        <f>B4</f>
        <v>39</v>
      </c>
    </row>
    <row r="5" spans="1:6" x14ac:dyDescent="0.3">
      <c r="A5" s="5" t="s">
        <v>66</v>
      </c>
      <c r="B5" s="6">
        <v>69</v>
      </c>
      <c r="E5" t="str">
        <f t="shared" ref="E5:E11" si="0">A5</f>
        <v>120W Cordless Vacuum Cleaners Handheld Electric Vacuum Cleaner</v>
      </c>
      <c r="F5">
        <f t="shared" ref="F5:F11" si="1">B5</f>
        <v>69</v>
      </c>
    </row>
    <row r="6" spans="1:6" x14ac:dyDescent="0.3">
      <c r="A6" s="5" t="s">
        <v>11</v>
      </c>
      <c r="B6" s="6">
        <v>55</v>
      </c>
      <c r="E6" t="str">
        <f t="shared" si="0"/>
        <v>137 Pieces Cake Decorating Tool Set Baking Supplies</v>
      </c>
      <c r="F6">
        <f t="shared" si="1"/>
        <v>55</v>
      </c>
    </row>
    <row r="7" spans="1:6" x14ac:dyDescent="0.3">
      <c r="A7" s="5" t="s">
        <v>24</v>
      </c>
      <c r="B7" s="6">
        <v>44</v>
      </c>
      <c r="E7" t="str">
        <f t="shared" si="0"/>
        <v>3D Waterproof EVA Plastic Shower Curtain 1.8*2Mtrs</v>
      </c>
      <c r="F7">
        <f t="shared" si="1"/>
        <v>44</v>
      </c>
    </row>
    <row r="8" spans="1:6" x14ac:dyDescent="0.3">
      <c r="A8" s="5" t="s">
        <v>39</v>
      </c>
      <c r="B8" s="6">
        <v>32</v>
      </c>
      <c r="E8" t="str">
        <f t="shared" si="0"/>
        <v>53 Pieces/Set Yarn Knitting Crochet Hooks With Bag - Pansies</v>
      </c>
      <c r="F8">
        <f t="shared" si="1"/>
        <v>32</v>
      </c>
    </row>
    <row r="9" spans="1:6" x14ac:dyDescent="0.3">
      <c r="A9" s="5" t="s">
        <v>30</v>
      </c>
      <c r="B9" s="6">
        <v>49</v>
      </c>
      <c r="E9" t="str">
        <f t="shared" si="0"/>
        <v>Electronic Digital Display Vernier Caliper</v>
      </c>
      <c r="F9">
        <f t="shared" si="1"/>
        <v>49</v>
      </c>
    </row>
    <row r="10" spans="1:6" x14ac:dyDescent="0.3">
      <c r="A10" s="5" t="s">
        <v>42</v>
      </c>
      <c r="B10" s="6">
        <v>36</v>
      </c>
      <c r="E10" t="str">
        <f t="shared" si="0"/>
        <v>Punch-free Great Load Bearing Bathroom Storage Rack Wall Shelf-White</v>
      </c>
      <c r="F10">
        <f t="shared" si="1"/>
        <v>36</v>
      </c>
    </row>
    <row r="11" spans="1:6" x14ac:dyDescent="0.3">
      <c r="A11" s="5" t="s">
        <v>123</v>
      </c>
      <c r="B11" s="6">
        <v>324</v>
      </c>
      <c r="E11" t="str">
        <f t="shared" si="0"/>
        <v>Grand Total</v>
      </c>
      <c r="F11">
        <f t="shared" si="1"/>
        <v>324</v>
      </c>
    </row>
    <row r="12" spans="1:6" x14ac:dyDescent="0.3">
      <c r="A12" s="7" t="s">
        <v>137</v>
      </c>
      <c r="B12" s="7" t="s">
        <v>138</v>
      </c>
      <c r="C12" s="7" t="s">
        <v>139</v>
      </c>
    </row>
    <row r="13" spans="1:6" x14ac:dyDescent="0.3">
      <c r="A13" s="5" t="s">
        <v>16</v>
      </c>
      <c r="B13" s="6">
        <v>39</v>
      </c>
      <c r="C13" s="6">
        <v>4.7</v>
      </c>
    </row>
    <row r="14" spans="1:6" x14ac:dyDescent="0.3">
      <c r="A14" s="5" t="s">
        <v>66</v>
      </c>
      <c r="B14" s="6">
        <v>69</v>
      </c>
      <c r="C14" s="6">
        <v>2.8</v>
      </c>
    </row>
    <row r="15" spans="1:6" x14ac:dyDescent="0.3">
      <c r="A15" s="5" t="s">
        <v>11</v>
      </c>
      <c r="B15" s="6">
        <v>55</v>
      </c>
      <c r="C15" s="6">
        <v>4.5999999999999996</v>
      </c>
    </row>
    <row r="16" spans="1:6" x14ac:dyDescent="0.3">
      <c r="A16" s="5" t="s">
        <v>24</v>
      </c>
      <c r="B16" s="6">
        <v>44</v>
      </c>
      <c r="C16" s="6">
        <v>4.5999999999999996</v>
      </c>
    </row>
    <row r="17" spans="1:3" x14ac:dyDescent="0.3">
      <c r="A17" s="5" t="s">
        <v>30</v>
      </c>
      <c r="B17" s="6">
        <v>49</v>
      </c>
      <c r="C17" s="6">
        <v>4.5999999999999996</v>
      </c>
    </row>
    <row r="18" spans="1:3" x14ac:dyDescent="0.3">
      <c r="A18" s="9" t="s">
        <v>123</v>
      </c>
      <c r="B18" s="10">
        <v>256</v>
      </c>
      <c r="C18" s="10">
        <v>21.299999999999997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6EB48-48C8-4610-B52F-AA7DBD8205DC}">
  <dimension ref="A1:E23"/>
  <sheetViews>
    <sheetView workbookViewId="0">
      <selection activeCell="A17" sqref="A17"/>
    </sheetView>
  </sheetViews>
  <sheetFormatPr defaultRowHeight="14.4" x14ac:dyDescent="0.3"/>
  <cols>
    <col min="1" max="1" width="68.88671875" bestFit="1" customWidth="1"/>
    <col min="2" max="2" width="17.88671875" bestFit="1" customWidth="1"/>
    <col min="4" max="4" width="48.5546875" bestFit="1" customWidth="1"/>
  </cols>
  <sheetData>
    <row r="1" spans="1:5" x14ac:dyDescent="0.3">
      <c r="A1" s="4" t="s">
        <v>3</v>
      </c>
      <c r="B1" t="s">
        <v>129</v>
      </c>
    </row>
    <row r="3" spans="1:5" x14ac:dyDescent="0.3">
      <c r="A3" s="4" t="s">
        <v>122</v>
      </c>
      <c r="B3" t="s">
        <v>128</v>
      </c>
    </row>
    <row r="4" spans="1:5" x14ac:dyDescent="0.3">
      <c r="A4" s="5" t="s">
        <v>65</v>
      </c>
      <c r="B4" s="1">
        <v>0.55000000000000004</v>
      </c>
      <c r="D4" t="str">
        <f>A4</f>
        <v>5-PCS Stainless Steel Cooking Pot Set With Steamed Slices</v>
      </c>
      <c r="E4" s="1">
        <f>B4</f>
        <v>0.55000000000000004</v>
      </c>
    </row>
    <row r="5" spans="1:5" x14ac:dyDescent="0.3">
      <c r="A5" s="5" t="s">
        <v>111</v>
      </c>
      <c r="B5" s="1">
        <v>0.64</v>
      </c>
      <c r="D5" t="str">
        <f t="shared" ref="D5:D11" si="0">A5</f>
        <v>6 In 1 Bottle Can Opener Multifunctional Easy Opener</v>
      </c>
      <c r="E5" s="1">
        <f t="shared" ref="E5:E10" si="1">B5</f>
        <v>0.64</v>
      </c>
    </row>
    <row r="6" spans="1:5" x14ac:dyDescent="0.3">
      <c r="A6" s="5" t="s">
        <v>53</v>
      </c>
      <c r="B6" s="1">
        <v>0.61</v>
      </c>
      <c r="D6" t="str">
        <f t="shared" si="0"/>
        <v>Creative Owl Shape Keychain Black</v>
      </c>
      <c r="E6" s="1">
        <f t="shared" si="1"/>
        <v>0.61</v>
      </c>
    </row>
    <row r="7" spans="1:5" x14ac:dyDescent="0.3">
      <c r="A7" s="5" t="s">
        <v>29</v>
      </c>
      <c r="B7" s="1">
        <v>0.54</v>
      </c>
      <c r="D7" t="str">
        <f t="shared" si="0"/>
        <v>LASA 3 Tier Bamboo Shoe Bench Storage Shelf</v>
      </c>
      <c r="E7" s="1">
        <f t="shared" si="1"/>
        <v>0.54</v>
      </c>
    </row>
    <row r="8" spans="1:5" x14ac:dyDescent="0.3">
      <c r="A8" s="5" t="s">
        <v>13</v>
      </c>
      <c r="B8" s="1">
        <v>0.55000000000000004</v>
      </c>
      <c r="D8" t="str">
        <f t="shared" si="0"/>
        <v>LASA FOLDING TABLE SERVING STAND</v>
      </c>
      <c r="E8" s="1">
        <f t="shared" si="1"/>
        <v>0.55000000000000004</v>
      </c>
    </row>
    <row r="9" spans="1:5" x14ac:dyDescent="0.3">
      <c r="A9" s="5" t="s">
        <v>64</v>
      </c>
      <c r="B9" s="1">
        <v>0.54</v>
      </c>
      <c r="D9" t="str">
        <f t="shared" si="0"/>
        <v>Mythco 120COB Solar Wall Ligt With Motion Sensor And Remote Control 3 Modes</v>
      </c>
      <c r="E9" s="1">
        <f t="shared" si="1"/>
        <v>0.54</v>
      </c>
    </row>
    <row r="10" spans="1:5" x14ac:dyDescent="0.3">
      <c r="A10" s="5" t="s">
        <v>59</v>
      </c>
      <c r="B10" s="1">
        <v>0.55000000000000004</v>
      </c>
      <c r="D10" t="str">
        <f t="shared" si="0"/>
        <v>Simple Metal Dog Art Sculpture Decoration For Home Office</v>
      </c>
      <c r="E10" s="1">
        <f t="shared" si="1"/>
        <v>0.55000000000000004</v>
      </c>
    </row>
    <row r="11" spans="1:5" x14ac:dyDescent="0.3">
      <c r="A11" s="5" t="s">
        <v>123</v>
      </c>
      <c r="B11" s="1">
        <v>1.8940236480000008E-2</v>
      </c>
      <c r="D11" t="str">
        <f t="shared" si="0"/>
        <v>Grand Total</v>
      </c>
      <c r="E11" s="1">
        <f>1</f>
        <v>1</v>
      </c>
    </row>
    <row r="13" spans="1:5" x14ac:dyDescent="0.3">
      <c r="A13" s="4" t="s">
        <v>3</v>
      </c>
      <c r="B13" t="s">
        <v>129</v>
      </c>
    </row>
    <row r="15" spans="1:5" x14ac:dyDescent="0.3">
      <c r="A15" s="4" t="s">
        <v>122</v>
      </c>
      <c r="B15" t="s">
        <v>128</v>
      </c>
    </row>
    <row r="16" spans="1:5" x14ac:dyDescent="0.3">
      <c r="A16" s="5" t="s">
        <v>65</v>
      </c>
      <c r="B16" s="1">
        <v>0.55000000000000004</v>
      </c>
    </row>
    <row r="17" spans="1:2" x14ac:dyDescent="0.3">
      <c r="A17" s="5" t="s">
        <v>111</v>
      </c>
      <c r="B17" s="1">
        <v>0.64</v>
      </c>
    </row>
    <row r="18" spans="1:2" x14ac:dyDescent="0.3">
      <c r="A18" s="5" t="s">
        <v>53</v>
      </c>
      <c r="B18" s="1">
        <v>0.61</v>
      </c>
    </row>
    <row r="19" spans="1:2" x14ac:dyDescent="0.3">
      <c r="A19" s="5" t="s">
        <v>29</v>
      </c>
      <c r="B19" s="1">
        <v>0.54</v>
      </c>
    </row>
    <row r="20" spans="1:2" x14ac:dyDescent="0.3">
      <c r="A20" s="5" t="s">
        <v>13</v>
      </c>
      <c r="B20" s="1">
        <v>0.55000000000000004</v>
      </c>
    </row>
    <row r="21" spans="1:2" x14ac:dyDescent="0.3">
      <c r="A21" s="5" t="s">
        <v>64</v>
      </c>
      <c r="B21" s="1">
        <v>0.54</v>
      </c>
    </row>
    <row r="22" spans="1:2" x14ac:dyDescent="0.3">
      <c r="A22" s="5" t="s">
        <v>59</v>
      </c>
      <c r="B22" s="1">
        <v>0.55000000000000004</v>
      </c>
    </row>
    <row r="23" spans="1:2" x14ac:dyDescent="0.3">
      <c r="A23" s="5" t="s">
        <v>123</v>
      </c>
      <c r="B23" s="1">
        <v>1.8940236480000008E-2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B8956-611A-41E7-B1B6-7A426CA228BD}">
  <dimension ref="A3:B50"/>
  <sheetViews>
    <sheetView topLeftCell="A25" workbookViewId="0">
      <selection activeCell="N36" sqref="N36"/>
    </sheetView>
  </sheetViews>
  <sheetFormatPr defaultRowHeight="14.4" x14ac:dyDescent="0.3"/>
  <cols>
    <col min="1" max="1" width="12.5546875" bestFit="1" customWidth="1"/>
    <col min="2" max="2" width="13.5546875" bestFit="1" customWidth="1"/>
  </cols>
  <sheetData>
    <row r="3" spans="1:2" x14ac:dyDescent="0.3">
      <c r="A3" s="4" t="s">
        <v>122</v>
      </c>
      <c r="B3" t="s">
        <v>126</v>
      </c>
    </row>
    <row r="4" spans="1:2" x14ac:dyDescent="0.3">
      <c r="A4" s="11">
        <v>0.01</v>
      </c>
      <c r="B4" s="6"/>
    </row>
    <row r="5" spans="1:2" x14ac:dyDescent="0.3">
      <c r="A5" s="11">
        <v>0.02</v>
      </c>
      <c r="B5" s="6"/>
    </row>
    <row r="6" spans="1:2" x14ac:dyDescent="0.3">
      <c r="A6" s="11">
        <v>0.03</v>
      </c>
      <c r="B6" s="6"/>
    </row>
    <row r="7" spans="1:2" x14ac:dyDescent="0.3">
      <c r="A7" s="11">
        <v>0.04</v>
      </c>
      <c r="B7" s="6"/>
    </row>
    <row r="8" spans="1:2" x14ac:dyDescent="0.3">
      <c r="A8" s="11">
        <v>0.08</v>
      </c>
      <c r="B8" s="6"/>
    </row>
    <row r="9" spans="1:2" x14ac:dyDescent="0.3">
      <c r="A9" s="11">
        <v>0.09</v>
      </c>
      <c r="B9" s="6">
        <v>15</v>
      </c>
    </row>
    <row r="10" spans="1:2" x14ac:dyDescent="0.3">
      <c r="A10" s="11">
        <v>0.11</v>
      </c>
      <c r="B10" s="6"/>
    </row>
    <row r="11" spans="1:2" x14ac:dyDescent="0.3">
      <c r="A11" s="11">
        <v>0.13</v>
      </c>
      <c r="B11" s="6">
        <v>6</v>
      </c>
    </row>
    <row r="12" spans="1:2" x14ac:dyDescent="0.3">
      <c r="A12" s="11">
        <v>0.14000000000000001</v>
      </c>
      <c r="B12" s="6"/>
    </row>
    <row r="13" spans="1:2" x14ac:dyDescent="0.3">
      <c r="A13" s="11">
        <v>0.18</v>
      </c>
      <c r="B13" s="6">
        <v>12</v>
      </c>
    </row>
    <row r="14" spans="1:2" x14ac:dyDescent="0.3">
      <c r="A14" s="11">
        <v>0.19</v>
      </c>
      <c r="B14" s="6">
        <v>5</v>
      </c>
    </row>
    <row r="15" spans="1:2" x14ac:dyDescent="0.3">
      <c r="A15" s="11">
        <v>0.2</v>
      </c>
      <c r="B15" s="6">
        <v>12</v>
      </c>
    </row>
    <row r="16" spans="1:2" x14ac:dyDescent="0.3">
      <c r="A16" s="11">
        <v>0.21</v>
      </c>
      <c r="B16" s="6">
        <v>1</v>
      </c>
    </row>
    <row r="17" spans="1:2" x14ac:dyDescent="0.3">
      <c r="A17" s="11">
        <v>0.22</v>
      </c>
      <c r="B17" s="6">
        <v>16</v>
      </c>
    </row>
    <row r="18" spans="1:2" x14ac:dyDescent="0.3">
      <c r="A18" s="11">
        <v>0.23</v>
      </c>
      <c r="B18" s="6">
        <v>14</v>
      </c>
    </row>
    <row r="19" spans="1:2" x14ac:dyDescent="0.3">
      <c r="A19" s="11">
        <v>0.24</v>
      </c>
      <c r="B19" s="6">
        <v>55</v>
      </c>
    </row>
    <row r="20" spans="1:2" x14ac:dyDescent="0.3">
      <c r="A20" s="11">
        <v>0.25</v>
      </c>
      <c r="B20" s="6">
        <v>24</v>
      </c>
    </row>
    <row r="21" spans="1:2" x14ac:dyDescent="0.3">
      <c r="A21" s="11">
        <v>0.26</v>
      </c>
      <c r="B21" s="6">
        <v>5</v>
      </c>
    </row>
    <row r="22" spans="1:2" x14ac:dyDescent="0.3">
      <c r="A22" s="11">
        <v>0.27</v>
      </c>
      <c r="B22" s="6">
        <v>52</v>
      </c>
    </row>
    <row r="23" spans="1:2" x14ac:dyDescent="0.3">
      <c r="A23" s="11">
        <v>0.28999999999999998</v>
      </c>
      <c r="B23" s="6">
        <v>5</v>
      </c>
    </row>
    <row r="24" spans="1:2" x14ac:dyDescent="0.3">
      <c r="A24" s="11">
        <v>0.3</v>
      </c>
      <c r="B24" s="6">
        <v>20</v>
      </c>
    </row>
    <row r="25" spans="1:2" x14ac:dyDescent="0.3">
      <c r="A25" s="11">
        <v>0.32</v>
      </c>
      <c r="B25" s="6">
        <v>13</v>
      </c>
    </row>
    <row r="26" spans="1:2" x14ac:dyDescent="0.3">
      <c r="A26" s="11">
        <v>0.33</v>
      </c>
      <c r="B26" s="6">
        <v>9</v>
      </c>
    </row>
    <row r="27" spans="1:2" x14ac:dyDescent="0.3">
      <c r="A27" s="11">
        <v>0.34</v>
      </c>
      <c r="B27" s="6">
        <v>51</v>
      </c>
    </row>
    <row r="28" spans="1:2" x14ac:dyDescent="0.3">
      <c r="A28" s="11">
        <v>0.35</v>
      </c>
      <c r="B28" s="6">
        <v>55</v>
      </c>
    </row>
    <row r="29" spans="1:2" x14ac:dyDescent="0.3">
      <c r="A29" s="11">
        <v>0.36</v>
      </c>
      <c r="B29" s="6"/>
    </row>
    <row r="30" spans="1:2" x14ac:dyDescent="0.3">
      <c r="A30" s="11">
        <v>0.37</v>
      </c>
      <c r="B30" s="6">
        <v>9</v>
      </c>
    </row>
    <row r="31" spans="1:2" x14ac:dyDescent="0.3">
      <c r="A31" s="11">
        <v>0.38</v>
      </c>
      <c r="B31" s="6">
        <v>4</v>
      </c>
    </row>
    <row r="32" spans="1:2" x14ac:dyDescent="0.3">
      <c r="A32" s="11">
        <v>0.39</v>
      </c>
      <c r="B32" s="6">
        <v>5</v>
      </c>
    </row>
    <row r="33" spans="1:2" x14ac:dyDescent="0.3">
      <c r="A33" s="11">
        <v>0.4</v>
      </c>
      <c r="B33" s="6">
        <v>1</v>
      </c>
    </row>
    <row r="34" spans="1:2" x14ac:dyDescent="0.3">
      <c r="A34" s="11">
        <v>0.41</v>
      </c>
      <c r="B34" s="6">
        <v>36</v>
      </c>
    </row>
    <row r="35" spans="1:2" x14ac:dyDescent="0.3">
      <c r="A35" s="11">
        <v>0.42</v>
      </c>
      <c r="B35" s="6">
        <v>6</v>
      </c>
    </row>
    <row r="36" spans="1:2" x14ac:dyDescent="0.3">
      <c r="A36" s="11">
        <v>0.43</v>
      </c>
      <c r="B36" s="6">
        <v>11</v>
      </c>
    </row>
    <row r="37" spans="1:2" x14ac:dyDescent="0.3">
      <c r="A37" s="11">
        <v>0.45</v>
      </c>
      <c r="B37" s="6">
        <v>28</v>
      </c>
    </row>
    <row r="38" spans="1:2" x14ac:dyDescent="0.3">
      <c r="A38" s="11">
        <v>0.46</v>
      </c>
      <c r="B38" s="6">
        <v>3</v>
      </c>
    </row>
    <row r="39" spans="1:2" x14ac:dyDescent="0.3">
      <c r="A39" s="11">
        <v>0.47</v>
      </c>
      <c r="B39" s="6">
        <v>39</v>
      </c>
    </row>
    <row r="40" spans="1:2" x14ac:dyDescent="0.3">
      <c r="A40" s="11">
        <v>0.48</v>
      </c>
      <c r="B40" s="6">
        <v>9</v>
      </c>
    </row>
    <row r="41" spans="1:2" x14ac:dyDescent="0.3">
      <c r="A41" s="11">
        <v>0.49</v>
      </c>
      <c r="B41" s="6">
        <v>118</v>
      </c>
    </row>
    <row r="42" spans="1:2" x14ac:dyDescent="0.3">
      <c r="A42" s="11">
        <v>0.5</v>
      </c>
      <c r="B42" s="6">
        <v>8</v>
      </c>
    </row>
    <row r="43" spans="1:2" x14ac:dyDescent="0.3">
      <c r="A43" s="11">
        <v>0.51</v>
      </c>
      <c r="B43" s="6">
        <v>2</v>
      </c>
    </row>
    <row r="44" spans="1:2" x14ac:dyDescent="0.3">
      <c r="A44" s="11">
        <v>0.52</v>
      </c>
      <c r="B44" s="6">
        <v>24</v>
      </c>
    </row>
    <row r="45" spans="1:2" x14ac:dyDescent="0.3">
      <c r="A45" s="11">
        <v>0.53</v>
      </c>
      <c r="B45" s="6">
        <v>15</v>
      </c>
    </row>
    <row r="46" spans="1:2" x14ac:dyDescent="0.3">
      <c r="A46" s="11">
        <v>0.54</v>
      </c>
      <c r="B46" s="6">
        <v>17</v>
      </c>
    </row>
    <row r="47" spans="1:2" x14ac:dyDescent="0.3">
      <c r="A47" s="11">
        <v>0.55000000000000004</v>
      </c>
      <c r="B47" s="6">
        <v>18</v>
      </c>
    </row>
    <row r="48" spans="1:2" x14ac:dyDescent="0.3">
      <c r="A48" s="11">
        <v>0.61</v>
      </c>
      <c r="B48" s="6"/>
    </row>
    <row r="49" spans="1:2" x14ac:dyDescent="0.3">
      <c r="A49" s="11">
        <v>0.64</v>
      </c>
      <c r="B49" s="6"/>
    </row>
    <row r="50" spans="1:2" x14ac:dyDescent="0.3">
      <c r="A50" s="11" t="s">
        <v>123</v>
      </c>
      <c r="B50" s="6">
        <v>723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F0A06-AF49-41E6-8FF8-5F01ECCBA314}">
  <dimension ref="A1:B26"/>
  <sheetViews>
    <sheetView workbookViewId="0">
      <selection activeCell="N11" sqref="N11"/>
    </sheetView>
  </sheetViews>
  <sheetFormatPr defaultRowHeight="14.4" x14ac:dyDescent="0.3"/>
  <cols>
    <col min="1" max="1" width="13.6640625" bestFit="1" customWidth="1"/>
    <col min="2" max="2" width="16.109375" bestFit="1" customWidth="1"/>
  </cols>
  <sheetData>
    <row r="1" spans="1:2" x14ac:dyDescent="0.3">
      <c r="A1" s="4" t="s">
        <v>4</v>
      </c>
      <c r="B1" t="s">
        <v>129</v>
      </c>
    </row>
    <row r="3" spans="1:2" x14ac:dyDescent="0.3">
      <c r="A3" s="4" t="s">
        <v>142</v>
      </c>
      <c r="B3" t="s">
        <v>143</v>
      </c>
    </row>
    <row r="4" spans="1:2" x14ac:dyDescent="0.3">
      <c r="A4" s="5">
        <v>2</v>
      </c>
      <c r="B4" s="6">
        <v>1</v>
      </c>
    </row>
    <row r="5" spans="1:2" x14ac:dyDescent="0.3">
      <c r="A5" s="5">
        <v>2.1</v>
      </c>
      <c r="B5" s="6">
        <v>20</v>
      </c>
    </row>
    <row r="6" spans="1:2" x14ac:dyDescent="0.3">
      <c r="A6" s="5">
        <v>2.2000000000000002</v>
      </c>
      <c r="B6" s="6">
        <v>12</v>
      </c>
    </row>
    <row r="7" spans="1:2" x14ac:dyDescent="0.3">
      <c r="A7" s="5">
        <v>2.2999999999999998</v>
      </c>
      <c r="B7" s="6">
        <v>13</v>
      </c>
    </row>
    <row r="8" spans="1:2" x14ac:dyDescent="0.3">
      <c r="A8" s="5">
        <v>2.5</v>
      </c>
      <c r="B8" s="6">
        <v>6</v>
      </c>
    </row>
    <row r="9" spans="1:2" x14ac:dyDescent="0.3">
      <c r="A9" s="5">
        <v>2.6</v>
      </c>
      <c r="B9" s="6">
        <v>17</v>
      </c>
    </row>
    <row r="10" spans="1:2" x14ac:dyDescent="0.3">
      <c r="A10" s="5">
        <v>2.7</v>
      </c>
      <c r="B10" s="6">
        <v>15</v>
      </c>
    </row>
    <row r="11" spans="1:2" x14ac:dyDescent="0.3">
      <c r="A11" s="5">
        <v>2.8</v>
      </c>
      <c r="B11" s="6">
        <v>69</v>
      </c>
    </row>
    <row r="12" spans="1:2" x14ac:dyDescent="0.3">
      <c r="A12" s="5">
        <v>2.9</v>
      </c>
      <c r="B12" s="6">
        <v>16</v>
      </c>
    </row>
    <row r="13" spans="1:2" x14ac:dyDescent="0.3">
      <c r="A13" s="5">
        <v>3</v>
      </c>
      <c r="B13" s="6">
        <v>26</v>
      </c>
    </row>
    <row r="14" spans="1:2" x14ac:dyDescent="0.3">
      <c r="A14" s="5">
        <v>3.3</v>
      </c>
      <c r="B14" s="6">
        <v>13</v>
      </c>
    </row>
    <row r="15" spans="1:2" x14ac:dyDescent="0.3">
      <c r="A15" s="5">
        <v>3.8</v>
      </c>
      <c r="B15" s="6">
        <v>30</v>
      </c>
    </row>
    <row r="16" spans="1:2" x14ac:dyDescent="0.3">
      <c r="A16" s="5">
        <v>4</v>
      </c>
      <c r="B16" s="6">
        <v>24</v>
      </c>
    </row>
    <row r="17" spans="1:2" x14ac:dyDescent="0.3">
      <c r="A17" s="5">
        <v>4.0999999999999996</v>
      </c>
      <c r="B17" s="6">
        <v>46</v>
      </c>
    </row>
    <row r="18" spans="1:2" x14ac:dyDescent="0.3">
      <c r="A18" s="5">
        <v>4.2</v>
      </c>
      <c r="B18" s="6">
        <v>9</v>
      </c>
    </row>
    <row r="19" spans="1:2" x14ac:dyDescent="0.3">
      <c r="A19" s="5">
        <v>4.3</v>
      </c>
      <c r="B19" s="6">
        <v>61</v>
      </c>
    </row>
    <row r="20" spans="1:2" x14ac:dyDescent="0.3">
      <c r="A20" s="5">
        <v>4.4000000000000004</v>
      </c>
      <c r="B20" s="6">
        <v>14</v>
      </c>
    </row>
    <row r="21" spans="1:2" x14ac:dyDescent="0.3">
      <c r="A21" s="5">
        <v>4.5</v>
      </c>
      <c r="B21" s="6">
        <v>42</v>
      </c>
    </row>
    <row r="22" spans="1:2" x14ac:dyDescent="0.3">
      <c r="A22" s="5">
        <v>4.5999999999999996</v>
      </c>
      <c r="B22" s="6">
        <v>177</v>
      </c>
    </row>
    <row r="23" spans="1:2" x14ac:dyDescent="0.3">
      <c r="A23" s="5">
        <v>4.7</v>
      </c>
      <c r="B23" s="6">
        <v>78</v>
      </c>
    </row>
    <row r="24" spans="1:2" x14ac:dyDescent="0.3">
      <c r="A24" s="5">
        <v>4.8</v>
      </c>
      <c r="B24" s="6">
        <v>22</v>
      </c>
    </row>
    <row r="25" spans="1:2" x14ac:dyDescent="0.3">
      <c r="A25" s="5">
        <v>5</v>
      </c>
      <c r="B25" s="6">
        <v>12</v>
      </c>
    </row>
    <row r="26" spans="1:2" x14ac:dyDescent="0.3">
      <c r="A26" s="5" t="s">
        <v>123</v>
      </c>
      <c r="B26" s="6">
        <v>723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6F2C7-1E1F-4D44-A01E-7F9590B4BF88}">
  <dimension ref="A3:B8"/>
  <sheetViews>
    <sheetView workbookViewId="0">
      <selection activeCell="A3" sqref="A3"/>
    </sheetView>
  </sheetViews>
  <sheetFormatPr defaultRowHeight="14.4" x14ac:dyDescent="0.3"/>
  <cols>
    <col min="1" max="1" width="14" bestFit="1" customWidth="1"/>
    <col min="2" max="2" width="15.5546875" bestFit="1" customWidth="1"/>
  </cols>
  <sheetData>
    <row r="3" spans="1:2" x14ac:dyDescent="0.3">
      <c r="A3" s="4" t="s">
        <v>122</v>
      </c>
      <c r="B3" t="s">
        <v>144</v>
      </c>
    </row>
    <row r="4" spans="1:2" x14ac:dyDescent="0.3">
      <c r="A4" s="5" t="s">
        <v>145</v>
      </c>
      <c r="B4" s="6">
        <v>22</v>
      </c>
    </row>
    <row r="5" spans="1:2" x14ac:dyDescent="0.3">
      <c r="A5" s="5" t="s">
        <v>130</v>
      </c>
      <c r="B5" s="6">
        <v>23</v>
      </c>
    </row>
    <row r="6" spans="1:2" x14ac:dyDescent="0.3">
      <c r="A6" s="5" t="s">
        <v>146</v>
      </c>
      <c r="B6" s="6">
        <v>12</v>
      </c>
    </row>
    <row r="7" spans="1:2" x14ac:dyDescent="0.3">
      <c r="A7" s="5" t="s">
        <v>169</v>
      </c>
      <c r="B7" s="6">
        <v>55</v>
      </c>
    </row>
    <row r="8" spans="1:2" x14ac:dyDescent="0.3">
      <c r="A8" s="5" t="s">
        <v>123</v>
      </c>
      <c r="B8" s="6">
        <v>112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DB356-0985-4B25-8BB9-EEE45C0162B8}">
  <dimension ref="A3:F8"/>
  <sheetViews>
    <sheetView topLeftCell="G7" workbookViewId="0">
      <selection activeCell="M16" sqref="M16"/>
    </sheetView>
  </sheetViews>
  <sheetFormatPr defaultRowHeight="14.4" x14ac:dyDescent="0.3"/>
  <cols>
    <col min="1" max="2" width="15.5546875" bestFit="1" customWidth="1"/>
    <col min="3" max="3" width="14.33203125" bestFit="1" customWidth="1"/>
    <col min="4" max="4" width="10.33203125" bestFit="1" customWidth="1"/>
    <col min="5" max="5" width="9.21875" bestFit="1" customWidth="1"/>
    <col min="6" max="6" width="10.77734375" bestFit="1" customWidth="1"/>
  </cols>
  <sheetData>
    <row r="3" spans="1:6" x14ac:dyDescent="0.3">
      <c r="A3" s="4" t="s">
        <v>144</v>
      </c>
      <c r="B3" s="4" t="s">
        <v>131</v>
      </c>
    </row>
    <row r="4" spans="1:6" x14ac:dyDescent="0.3">
      <c r="A4" s="4" t="s">
        <v>122</v>
      </c>
      <c r="B4" t="s">
        <v>145</v>
      </c>
      <c r="C4" t="s">
        <v>130</v>
      </c>
      <c r="D4" t="s">
        <v>146</v>
      </c>
      <c r="E4" t="s">
        <v>169</v>
      </c>
      <c r="F4" t="s">
        <v>123</v>
      </c>
    </row>
    <row r="5" spans="1:6" x14ac:dyDescent="0.3">
      <c r="A5" s="5" t="s">
        <v>127</v>
      </c>
      <c r="B5" s="6">
        <v>11</v>
      </c>
      <c r="C5" s="6">
        <v>9</v>
      </c>
      <c r="D5" s="6">
        <v>10</v>
      </c>
      <c r="E5" s="6">
        <v>32</v>
      </c>
      <c r="F5" s="6">
        <v>62</v>
      </c>
    </row>
    <row r="6" spans="1:6" x14ac:dyDescent="0.3">
      <c r="A6" s="5" t="s">
        <v>147</v>
      </c>
      <c r="B6" s="6">
        <v>2</v>
      </c>
      <c r="C6" s="6">
        <v>1</v>
      </c>
      <c r="D6" s="6">
        <v>1</v>
      </c>
      <c r="E6" s="6">
        <v>14</v>
      </c>
      <c r="F6" s="6">
        <v>18</v>
      </c>
    </row>
    <row r="7" spans="1:6" x14ac:dyDescent="0.3">
      <c r="A7" s="5" t="s">
        <v>132</v>
      </c>
      <c r="B7" s="6">
        <v>9</v>
      </c>
      <c r="C7" s="6">
        <v>13</v>
      </c>
      <c r="D7" s="6">
        <v>1</v>
      </c>
      <c r="E7" s="6">
        <v>9</v>
      </c>
      <c r="F7" s="6">
        <v>32</v>
      </c>
    </row>
    <row r="8" spans="1:6" x14ac:dyDescent="0.3">
      <c r="A8" s="5" t="s">
        <v>123</v>
      </c>
      <c r="B8" s="6">
        <v>22</v>
      </c>
      <c r="C8" s="6">
        <v>23</v>
      </c>
      <c r="D8" s="6">
        <v>12</v>
      </c>
      <c r="E8" s="6">
        <v>55</v>
      </c>
      <c r="F8" s="6">
        <v>112</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3"/>
  <sheetViews>
    <sheetView tabSelected="1" workbookViewId="0">
      <selection activeCell="I2" sqref="I2"/>
    </sheetView>
  </sheetViews>
  <sheetFormatPr defaultRowHeight="14.4" x14ac:dyDescent="0.3"/>
  <cols>
    <col min="1" max="1" width="87.88671875" bestFit="1" customWidth="1"/>
    <col min="2" max="3" width="18.33203125" bestFit="1" customWidth="1"/>
    <col min="4" max="4" width="18.33203125" customWidth="1"/>
    <col min="5" max="5" width="10.21875" customWidth="1"/>
    <col min="6" max="6" width="8.88671875" customWidth="1"/>
    <col min="7" max="7" width="10.44140625" bestFit="1" customWidth="1"/>
    <col min="8" max="8" width="16" customWidth="1"/>
    <col min="9" max="9" width="18" customWidth="1"/>
  </cols>
  <sheetData>
    <row r="1" spans="1:9" x14ac:dyDescent="0.3">
      <c r="A1" s="2" t="s">
        <v>0</v>
      </c>
      <c r="B1" s="2" t="s">
        <v>1</v>
      </c>
      <c r="C1" s="2" t="s">
        <v>2</v>
      </c>
      <c r="D1" s="2" t="s">
        <v>115</v>
      </c>
      <c r="E1" s="2" t="s">
        <v>3</v>
      </c>
      <c r="F1" s="2" t="s">
        <v>4</v>
      </c>
      <c r="G1" s="2" t="s">
        <v>114</v>
      </c>
      <c r="H1" s="2" t="s">
        <v>116</v>
      </c>
      <c r="I1" s="2" t="s">
        <v>117</v>
      </c>
    </row>
    <row r="2" spans="1:9" x14ac:dyDescent="0.3">
      <c r="A2" t="s">
        <v>5</v>
      </c>
      <c r="B2">
        <v>950</v>
      </c>
      <c r="C2" s="3">
        <v>1525</v>
      </c>
      <c r="D2" s="3">
        <f>C2-B2</f>
        <v>575</v>
      </c>
      <c r="E2" s="1">
        <v>0.38</v>
      </c>
      <c r="F2">
        <v>2</v>
      </c>
      <c r="G2">
        <v>4.5</v>
      </c>
      <c r="H2" t="str" cm="1">
        <f t="array" ref="H2">_xlfn.IFS(G2="","Unknown",G2&lt;3,"Poor rating",G2&lt;=4.4,"Average Rating",G2&gt;4.4,"Excellent Rating")</f>
        <v>Excellent Rating</v>
      </c>
      <c r="I2" t="str" cm="1">
        <f t="array" ref="I2">_xlfn.IFS(E2&lt;20%,"Low Discount",E2&lt;=40%,"Medium Discount",E2&gt;40%,"High Discount")</f>
        <v>Medium Discount</v>
      </c>
    </row>
    <row r="3" spans="1:9" x14ac:dyDescent="0.3">
      <c r="A3" t="s">
        <v>6</v>
      </c>
      <c r="B3">
        <v>527</v>
      </c>
      <c r="C3">
        <v>999</v>
      </c>
      <c r="D3" s="3">
        <f t="shared" ref="D3:D64" si="0">C3-B3</f>
        <v>472</v>
      </c>
      <c r="E3" s="1">
        <v>0.47</v>
      </c>
      <c r="F3">
        <v>14</v>
      </c>
      <c r="G3">
        <v>4.0999999999999996</v>
      </c>
      <c r="H3" t="str" cm="1">
        <f t="array" ref="H3">_xlfn.IFS(G3="","Unknown",G3&lt;3,"Poor rating",G3&lt;=4.4,"Average Rating",G3&gt;4.4,"Excellent Rating")</f>
        <v>Average Rating</v>
      </c>
      <c r="I3" t="str" cm="1">
        <f t="array" ref="I3">_xlfn.IFS(E3&lt;20%,"Low Discount",E3&lt;=40%,"Medium Discount",E3&gt;40%,"High Discount")</f>
        <v>High Discount</v>
      </c>
    </row>
    <row r="4" spans="1:9" x14ac:dyDescent="0.3">
      <c r="A4" t="s">
        <v>7</v>
      </c>
      <c r="B4" s="3">
        <v>2199</v>
      </c>
      <c r="C4" s="3">
        <v>2923</v>
      </c>
      <c r="D4" s="3">
        <f t="shared" si="0"/>
        <v>724</v>
      </c>
      <c r="E4" s="1">
        <v>0.25</v>
      </c>
      <c r="F4">
        <v>24</v>
      </c>
      <c r="G4">
        <v>4.5999999999999996</v>
      </c>
      <c r="H4" t="str" cm="1">
        <f t="array" ref="H4">_xlfn.IFS(G4="","Unknown",G4&lt;3,"Poor rating",G4&lt;=4.4,"Average Rating",G4&gt;4.4,"Excellent Rating")</f>
        <v>Excellent Rating</v>
      </c>
      <c r="I4" t="str" cm="1">
        <f t="array" ref="I4">_xlfn.IFS(E4&lt;20%,"Low Discount",E4&lt;=40%,"Medium Discount",E4&gt;40%,"High Discount")</f>
        <v>Medium Discount</v>
      </c>
    </row>
    <row r="5" spans="1:9" x14ac:dyDescent="0.3">
      <c r="A5" t="s">
        <v>8</v>
      </c>
      <c r="B5" s="3">
        <v>1580</v>
      </c>
      <c r="C5" s="3">
        <v>2499</v>
      </c>
      <c r="D5" s="3">
        <f t="shared" si="0"/>
        <v>919</v>
      </c>
      <c r="E5" s="1">
        <v>0.37</v>
      </c>
      <c r="F5">
        <v>7</v>
      </c>
      <c r="G5">
        <v>4.7</v>
      </c>
      <c r="H5" t="str" cm="1">
        <f t="array" ref="H5">_xlfn.IFS(G5="","Unknown",G5&lt;3,"Poor rating",G5&lt;=4.4,"Average Rating",G5&gt;4.4,"Excellent Rating")</f>
        <v>Excellent Rating</v>
      </c>
      <c r="I5" t="str" cm="1">
        <f t="array" ref="I5">_xlfn.IFS(E5&lt;20%,"Low Discount",E5&lt;=40%,"Medium Discount",E5&gt;40%,"High Discount")</f>
        <v>Medium Discount</v>
      </c>
    </row>
    <row r="6" spans="1:9" x14ac:dyDescent="0.3">
      <c r="A6" t="s">
        <v>9</v>
      </c>
      <c r="B6" s="3">
        <v>1740</v>
      </c>
      <c r="C6" s="3">
        <v>2356</v>
      </c>
      <c r="D6" s="3">
        <f t="shared" si="0"/>
        <v>616</v>
      </c>
      <c r="E6" s="1">
        <v>0.26</v>
      </c>
      <c r="F6">
        <v>5</v>
      </c>
      <c r="G6">
        <v>4.8</v>
      </c>
      <c r="H6" t="str" cm="1">
        <f t="array" ref="H6">_xlfn.IFS(G6="","Unknown",G6&lt;3,"Poor rating",G6&lt;=4.4,"Average Rating",G6&gt;4.4,"Excellent Rating")</f>
        <v>Excellent Rating</v>
      </c>
      <c r="I6" t="str" cm="1">
        <f t="array" ref="I6">_xlfn.IFS(E6&lt;20%,"Low Discount",E6&lt;=40%,"Medium Discount",E6&gt;40%,"High Discount")</f>
        <v>Medium Discount</v>
      </c>
    </row>
    <row r="7" spans="1:9" x14ac:dyDescent="0.3">
      <c r="A7" t="s">
        <v>10</v>
      </c>
      <c r="B7" s="3">
        <v>2999</v>
      </c>
      <c r="C7" s="3">
        <v>3290</v>
      </c>
      <c r="D7" s="3">
        <f t="shared" si="0"/>
        <v>291</v>
      </c>
      <c r="E7" s="1">
        <v>0.09</v>
      </c>
      <c r="F7">
        <v>15</v>
      </c>
      <c r="G7">
        <v>4</v>
      </c>
      <c r="H7" t="str" cm="1">
        <f t="array" ref="H7">_xlfn.IFS(G7="","Unknown",G7&lt;3,"Poor rating",G7&lt;=4.4,"Average Rating",G7&gt;4.4,"Excellent Rating")</f>
        <v>Average Rating</v>
      </c>
      <c r="I7" t="str" cm="1">
        <f t="array" ref="I7">_xlfn.IFS(E7&lt;20%,"Low Discount",E7&lt;=40%,"Medium Discount",E7&gt;40%,"High Discount")</f>
        <v>Low Discount</v>
      </c>
    </row>
    <row r="8" spans="1:9" x14ac:dyDescent="0.3">
      <c r="A8" t="s">
        <v>11</v>
      </c>
      <c r="B8" s="3">
        <v>2319</v>
      </c>
      <c r="C8" s="3">
        <v>3032</v>
      </c>
      <c r="D8" s="3">
        <f t="shared" si="0"/>
        <v>713</v>
      </c>
      <c r="E8" s="1">
        <v>0.24</v>
      </c>
      <c r="F8">
        <v>55</v>
      </c>
      <c r="G8">
        <v>4.5999999999999996</v>
      </c>
      <c r="H8" t="str" cm="1">
        <f t="array" ref="H8">_xlfn.IFS(G8="","Unknown",G8&lt;3,"Poor rating",G8&lt;=4.4,"Average Rating",G8&gt;4.4,"Excellent Rating")</f>
        <v>Excellent Rating</v>
      </c>
      <c r="I8" t="str" cm="1">
        <f t="array" ref="I8">_xlfn.IFS(E8&lt;20%,"Low Discount",E8&lt;=40%,"Medium Discount",E8&gt;40%,"High Discount")</f>
        <v>Medium Discount</v>
      </c>
    </row>
    <row r="9" spans="1:9" x14ac:dyDescent="0.3">
      <c r="A9" t="s">
        <v>12</v>
      </c>
      <c r="B9">
        <v>988</v>
      </c>
      <c r="C9" s="3">
        <v>1580</v>
      </c>
      <c r="D9" s="3">
        <f t="shared" si="0"/>
        <v>592</v>
      </c>
      <c r="E9" s="1">
        <v>0.37</v>
      </c>
      <c r="F9">
        <v>2</v>
      </c>
      <c r="G9">
        <v>4</v>
      </c>
      <c r="H9" t="str" cm="1">
        <f t="array" ref="H9">_xlfn.IFS(G9="","Unknown",G9&lt;3,"Poor rating",G9&lt;=4.4,"Average Rating",G9&gt;4.4,"Excellent Rating")</f>
        <v>Average Rating</v>
      </c>
      <c r="I9" t="str" cm="1">
        <f t="array" ref="I9">_xlfn.IFS(E9&lt;20%,"Low Discount",E9&lt;=40%,"Medium Discount",E9&gt;40%,"High Discount")</f>
        <v>Medium Discount</v>
      </c>
    </row>
    <row r="10" spans="1:9" x14ac:dyDescent="0.3">
      <c r="A10" t="s">
        <v>13</v>
      </c>
      <c r="B10" s="3">
        <v>1274</v>
      </c>
      <c r="C10" s="3">
        <v>2800</v>
      </c>
      <c r="D10" s="3">
        <f t="shared" si="0"/>
        <v>1526</v>
      </c>
      <c r="E10" s="1">
        <v>0.55000000000000004</v>
      </c>
      <c r="F10">
        <v>5</v>
      </c>
      <c r="G10">
        <v>4.8</v>
      </c>
      <c r="H10" t="str" cm="1">
        <f t="array" ref="H10">_xlfn.IFS(G10="","Unknown",G10&lt;3,"Poor rating",G10&lt;=4.4,"Average Rating",G10&gt;4.4,"Excellent Rating")</f>
        <v>Excellent Rating</v>
      </c>
      <c r="I10" t="str" cm="1">
        <f t="array" ref="I10">_xlfn.IFS(E10&lt;20%,"Low Discount",E10&lt;=40%,"Medium Discount",E10&gt;40%,"High Discount")</f>
        <v>High Discount</v>
      </c>
    </row>
    <row r="11" spans="1:9" x14ac:dyDescent="0.3">
      <c r="A11" t="s">
        <v>14</v>
      </c>
      <c r="B11" s="3">
        <v>1600</v>
      </c>
      <c r="C11" s="3">
        <v>2929</v>
      </c>
      <c r="D11" s="3">
        <f t="shared" si="0"/>
        <v>1329</v>
      </c>
      <c r="E11" s="1">
        <v>0.45</v>
      </c>
      <c r="F11">
        <v>5</v>
      </c>
      <c r="G11">
        <v>3.8</v>
      </c>
      <c r="H11" t="str" cm="1">
        <f t="array" ref="H11">_xlfn.IFS(G11="","Unknown",G11&lt;3,"Poor rating",G11&lt;=4.4,"Average Rating",G11&gt;4.4,"Excellent Rating")</f>
        <v>Average Rating</v>
      </c>
      <c r="I11" t="str" cm="1">
        <f t="array" ref="I11">_xlfn.IFS(E11&lt;20%,"Low Discount",E11&lt;=40%,"Medium Discount",E11&gt;40%,"High Discount")</f>
        <v>High Discount</v>
      </c>
    </row>
    <row r="12" spans="1:9" x14ac:dyDescent="0.3">
      <c r="A12" t="s">
        <v>15</v>
      </c>
      <c r="B12">
        <v>799</v>
      </c>
      <c r="C12">
        <v>999</v>
      </c>
      <c r="D12" s="3">
        <f t="shared" si="0"/>
        <v>200</v>
      </c>
      <c r="E12" s="1">
        <v>0.2</v>
      </c>
      <c r="F12">
        <v>12</v>
      </c>
      <c r="G12">
        <v>4.0999999999999996</v>
      </c>
      <c r="H12" t="str" cm="1">
        <f t="array" ref="H12">_xlfn.IFS(G12="","Unknown",G12&lt;3,"Poor rating",G12&lt;=4.4,"Average Rating",G12&gt;4.4,"Excellent Rating")</f>
        <v>Average Rating</v>
      </c>
      <c r="I12" t="str" cm="1">
        <f t="array" ref="I12">_xlfn.IFS(E12&lt;20%,"Low Discount",E12&lt;=40%,"Medium Discount",E12&gt;40%,"High Discount")</f>
        <v>Medium Discount</v>
      </c>
    </row>
    <row r="13" spans="1:9" x14ac:dyDescent="0.3">
      <c r="A13" t="s">
        <v>16</v>
      </c>
      <c r="B13">
        <v>990</v>
      </c>
      <c r="C13" s="3">
        <v>1500</v>
      </c>
      <c r="D13" s="3">
        <f t="shared" si="0"/>
        <v>510</v>
      </c>
      <c r="E13" s="1">
        <v>0.34</v>
      </c>
      <c r="F13">
        <v>39</v>
      </c>
      <c r="G13">
        <v>4.7</v>
      </c>
      <c r="H13" t="str" cm="1">
        <f t="array" ref="H13">_xlfn.IFS(G13="","Unknown",G13&lt;3,"Poor rating",G13&lt;=4.4,"Average Rating",G13&gt;4.4,"Excellent Rating")</f>
        <v>Excellent Rating</v>
      </c>
      <c r="I13" t="str" cm="1">
        <f t="array" ref="I13">_xlfn.IFS(E13&lt;20%,"Low Discount",E13&lt;=40%,"Medium Discount",E13&gt;40%,"High Discount")</f>
        <v>Medium Discount</v>
      </c>
    </row>
    <row r="14" spans="1:9" x14ac:dyDescent="0.3">
      <c r="A14" t="s">
        <v>17</v>
      </c>
      <c r="B14">
        <v>552</v>
      </c>
      <c r="C14" s="3">
        <v>1035</v>
      </c>
      <c r="D14" s="3">
        <f t="shared" si="0"/>
        <v>483</v>
      </c>
      <c r="E14" s="1">
        <v>0.47</v>
      </c>
      <c r="F14">
        <v>12</v>
      </c>
      <c r="G14">
        <v>4.8</v>
      </c>
      <c r="H14" t="str" cm="1">
        <f t="array" ref="H14">_xlfn.IFS(G14="","Unknown",G14&lt;3,"Poor rating",G14&lt;=4.4,"Average Rating",G14&gt;4.4,"Excellent Rating")</f>
        <v>Excellent Rating</v>
      </c>
      <c r="I14" t="str" cm="1">
        <f t="array" ref="I14">_xlfn.IFS(E14&lt;20%,"Low Discount",E14&lt;=40%,"Medium Discount",E14&gt;40%,"High Discount")</f>
        <v>High Discount</v>
      </c>
    </row>
    <row r="15" spans="1:9" x14ac:dyDescent="0.3">
      <c r="A15" t="s">
        <v>18</v>
      </c>
      <c r="B15">
        <v>501</v>
      </c>
      <c r="C15">
        <v>860</v>
      </c>
      <c r="D15" s="3">
        <f t="shared" si="0"/>
        <v>359</v>
      </c>
      <c r="E15" s="1">
        <v>0.42</v>
      </c>
      <c r="F15">
        <v>6</v>
      </c>
      <c r="G15">
        <v>4.5</v>
      </c>
      <c r="H15" t="str" cm="1">
        <f t="array" ref="H15">_xlfn.IFS(G15="","Unknown",G15&lt;3,"Poor rating",G15&lt;=4.4,"Average Rating",G15&gt;4.4,"Excellent Rating")</f>
        <v>Excellent Rating</v>
      </c>
      <c r="I15" t="str" cm="1">
        <f t="array" ref="I15">_xlfn.IFS(E15&lt;20%,"Low Discount",E15&lt;=40%,"Medium Discount",E15&gt;40%,"High Discount")</f>
        <v>High Discount</v>
      </c>
    </row>
    <row r="16" spans="1:9" x14ac:dyDescent="0.3">
      <c r="A16" t="s">
        <v>19</v>
      </c>
      <c r="B16" s="3">
        <v>1680</v>
      </c>
      <c r="C16" s="3">
        <v>2499</v>
      </c>
      <c r="D16" s="3">
        <f t="shared" si="0"/>
        <v>819</v>
      </c>
      <c r="E16" s="1">
        <v>0.33</v>
      </c>
      <c r="F16">
        <v>9</v>
      </c>
      <c r="G16">
        <v>4.2</v>
      </c>
      <c r="H16" t="str" cm="1">
        <f t="array" ref="H16">_xlfn.IFS(G16="","Unknown",G16&lt;3,"Poor rating",G16&lt;=4.4,"Average Rating",G16&gt;4.4,"Excellent Rating")</f>
        <v>Average Rating</v>
      </c>
      <c r="I16" t="str" cm="1">
        <f t="array" ref="I16">_xlfn.IFS(E16&lt;20%,"Low Discount",E16&lt;=40%,"Medium Discount",E16&gt;40%,"High Discount")</f>
        <v>Medium Discount</v>
      </c>
    </row>
    <row r="17" spans="1:9" x14ac:dyDescent="0.3">
      <c r="A17" t="s">
        <v>20</v>
      </c>
      <c r="B17">
        <v>332</v>
      </c>
      <c r="C17">
        <v>684</v>
      </c>
      <c r="D17" s="3">
        <f t="shared" si="0"/>
        <v>352</v>
      </c>
      <c r="E17" s="1">
        <v>0.51</v>
      </c>
      <c r="F17">
        <v>2</v>
      </c>
      <c r="G17">
        <v>5</v>
      </c>
      <c r="H17" t="str" cm="1">
        <f t="array" ref="H17">_xlfn.IFS(G17="","Unknown",G17&lt;3,"Poor rating",G17&lt;=4.4,"Average Rating",G17&gt;4.4,"Excellent Rating")</f>
        <v>Excellent Rating</v>
      </c>
      <c r="I17" t="str" cm="1">
        <f t="array" ref="I17">_xlfn.IFS(E17&lt;20%,"Low Discount",E17&lt;=40%,"Medium Discount",E17&gt;40%,"High Discount")</f>
        <v>High Discount</v>
      </c>
    </row>
    <row r="18" spans="1:9" x14ac:dyDescent="0.3">
      <c r="A18" t="s">
        <v>21</v>
      </c>
      <c r="B18">
        <v>195</v>
      </c>
      <c r="C18">
        <v>360</v>
      </c>
      <c r="D18" s="3">
        <f t="shared" si="0"/>
        <v>165</v>
      </c>
      <c r="E18" s="1">
        <v>0.46</v>
      </c>
      <c r="F18">
        <v>2</v>
      </c>
      <c r="G18">
        <v>5</v>
      </c>
      <c r="H18" t="str" cm="1">
        <f t="array" ref="H18">_xlfn.IFS(G18="","Unknown",G18&lt;3,"Poor rating",G18&lt;=4.4,"Average Rating",G18&gt;4.4,"Excellent Rating")</f>
        <v>Excellent Rating</v>
      </c>
      <c r="I18" t="str" cm="1">
        <f t="array" ref="I18">_xlfn.IFS(E18&lt;20%,"Low Discount",E18&lt;=40%,"Medium Discount",E18&gt;40%,"High Discount")</f>
        <v>High Discount</v>
      </c>
    </row>
    <row r="19" spans="1:9" x14ac:dyDescent="0.3">
      <c r="A19" t="s">
        <v>22</v>
      </c>
      <c r="B19" s="3">
        <v>2025</v>
      </c>
      <c r="C19" s="3">
        <v>3971</v>
      </c>
      <c r="D19" s="3">
        <f t="shared" si="0"/>
        <v>1946</v>
      </c>
      <c r="E19" s="1">
        <v>0.49</v>
      </c>
      <c r="F19">
        <v>3</v>
      </c>
      <c r="G19">
        <v>5</v>
      </c>
      <c r="H19" t="str" cm="1">
        <f t="array" ref="H19">_xlfn.IFS(G19="","Unknown",G19&lt;3,"Poor rating",G19&lt;=4.4,"Average Rating",G19&gt;4.4,"Excellent Rating")</f>
        <v>Excellent Rating</v>
      </c>
      <c r="I19" t="str" cm="1">
        <f t="array" ref="I19">_xlfn.IFS(E19&lt;20%,"Low Discount",E19&lt;=40%,"Medium Discount",E19&gt;40%,"High Discount")</f>
        <v>High Discount</v>
      </c>
    </row>
    <row r="20" spans="1:9" x14ac:dyDescent="0.3">
      <c r="A20" t="s">
        <v>23</v>
      </c>
      <c r="B20" s="3">
        <v>2999</v>
      </c>
      <c r="C20" s="3">
        <v>3699</v>
      </c>
      <c r="D20" s="3">
        <f t="shared" si="0"/>
        <v>700</v>
      </c>
      <c r="E20" s="1">
        <v>0.19</v>
      </c>
      <c r="F20">
        <v>5</v>
      </c>
      <c r="G20">
        <v>4.5999999999999996</v>
      </c>
      <c r="H20" t="str" cm="1">
        <f t="array" ref="H20">_xlfn.IFS(G20="","Unknown",G20&lt;3,"Poor rating",G20&lt;=4.4,"Average Rating",G20&gt;4.4,"Excellent Rating")</f>
        <v>Excellent Rating</v>
      </c>
      <c r="I20" t="str" cm="1">
        <f t="array" ref="I20">_xlfn.IFS(E20&lt;20%,"Low Discount",E20&lt;=40%,"Medium Discount",E20&gt;40%,"High Discount")</f>
        <v>Low Discount</v>
      </c>
    </row>
    <row r="21" spans="1:9" x14ac:dyDescent="0.3">
      <c r="A21" t="s">
        <v>24</v>
      </c>
      <c r="B21">
        <v>998</v>
      </c>
      <c r="C21" s="3">
        <v>1966</v>
      </c>
      <c r="D21" s="3">
        <f t="shared" si="0"/>
        <v>968</v>
      </c>
      <c r="E21" s="1">
        <v>0.49</v>
      </c>
      <c r="F21">
        <v>44</v>
      </c>
      <c r="G21">
        <v>4.5999999999999996</v>
      </c>
      <c r="H21" t="str" cm="1">
        <f t="array" ref="H21">_xlfn.IFS(G21="","Unknown",G21&lt;3,"Poor rating",G21&lt;=4.4,"Average Rating",G21&gt;4.4,"Excellent Rating")</f>
        <v>Excellent Rating</v>
      </c>
      <c r="I21" t="str" cm="1">
        <f t="array" ref="I21">_xlfn.IFS(E21&lt;20%,"Low Discount",E21&lt;=40%,"Medium Discount",E21&gt;40%,"High Discount")</f>
        <v>High Discount</v>
      </c>
    </row>
    <row r="22" spans="1:9" x14ac:dyDescent="0.3">
      <c r="A22" t="s">
        <v>25</v>
      </c>
      <c r="B22">
        <v>38</v>
      </c>
      <c r="C22">
        <v>80</v>
      </c>
      <c r="D22" s="3">
        <f t="shared" si="0"/>
        <v>42</v>
      </c>
      <c r="E22" s="1">
        <v>0.53</v>
      </c>
      <c r="F22">
        <v>13</v>
      </c>
      <c r="G22">
        <v>3.3</v>
      </c>
      <c r="H22" t="str" cm="1">
        <f t="array" ref="H22">_xlfn.IFS(G22="","Unknown",G22&lt;3,"Poor rating",G22&lt;=4.4,"Average Rating",G22&gt;4.4,"Excellent Rating")</f>
        <v>Average Rating</v>
      </c>
      <c r="I22" t="str" cm="1">
        <f t="array" ref="I22">_xlfn.IFS(E22&lt;20%,"Low Discount",E22&lt;=40%,"Medium Discount",E22&gt;40%,"High Discount")</f>
        <v>High Discount</v>
      </c>
    </row>
    <row r="23" spans="1:9" x14ac:dyDescent="0.3">
      <c r="A23" t="s">
        <v>26</v>
      </c>
      <c r="B23" s="3">
        <v>1860</v>
      </c>
      <c r="C23" s="3">
        <v>3220</v>
      </c>
      <c r="D23" s="3">
        <f t="shared" si="0"/>
        <v>1360</v>
      </c>
      <c r="E23" s="1">
        <v>0.42</v>
      </c>
      <c r="H23" t="str" cm="1">
        <f t="array" ref="H23">_xlfn.IFS(G23="","Unknown",G23&lt;3,"Poor rating",G23&lt;=4.4,"Average Rating",G23&gt;4.4,"Excellent Rating")</f>
        <v>Unknown</v>
      </c>
      <c r="I23" t="str" cm="1">
        <f t="array" ref="I23">_xlfn.IFS(E23&lt;20%,"Low Discount",E23&lt;=40%,"Medium Discount",E23&gt;40%,"High Discount")</f>
        <v>High Discount</v>
      </c>
    </row>
    <row r="24" spans="1:9" x14ac:dyDescent="0.3">
      <c r="A24" t="s">
        <v>27</v>
      </c>
      <c r="B24">
        <v>880</v>
      </c>
      <c r="C24" s="3">
        <v>1350</v>
      </c>
      <c r="D24" s="3">
        <f t="shared" si="0"/>
        <v>470</v>
      </c>
      <c r="E24" s="1">
        <v>0.35</v>
      </c>
      <c r="F24">
        <v>6</v>
      </c>
      <c r="G24">
        <v>4</v>
      </c>
      <c r="H24" t="str" cm="1">
        <f t="array" ref="H24">_xlfn.IFS(G24="","Unknown",G24&lt;3,"Poor rating",G24&lt;=4.4,"Average Rating",G24&gt;4.4,"Excellent Rating")</f>
        <v>Average Rating</v>
      </c>
      <c r="I24" t="str" cm="1">
        <f t="array" ref="I24">_xlfn.IFS(E24&lt;20%,"Low Discount",E24&lt;=40%,"Medium Discount",E24&gt;40%,"High Discount")</f>
        <v>Medium Discount</v>
      </c>
    </row>
    <row r="25" spans="1:9" x14ac:dyDescent="0.3">
      <c r="A25" t="s">
        <v>28</v>
      </c>
      <c r="B25" s="3">
        <v>1650</v>
      </c>
      <c r="C25" s="3">
        <v>2150</v>
      </c>
      <c r="D25" s="3">
        <f t="shared" si="0"/>
        <v>500</v>
      </c>
      <c r="E25" s="1">
        <v>0.23</v>
      </c>
      <c r="F25">
        <v>14</v>
      </c>
      <c r="G25">
        <v>4.4000000000000004</v>
      </c>
      <c r="H25" t="str" cm="1">
        <f t="array" ref="H25">_xlfn.IFS(G25="","Unknown",G25&lt;3,"Poor rating",G25&lt;=4.4,"Average Rating",G25&gt;4.4,"Excellent Rating")</f>
        <v>Average Rating</v>
      </c>
      <c r="I25" t="str" cm="1">
        <f t="array" ref="I25">_xlfn.IFS(E25&lt;20%,"Low Discount",E25&lt;=40%,"Medium Discount",E25&gt;40%,"High Discount")</f>
        <v>Medium Discount</v>
      </c>
    </row>
    <row r="26" spans="1:9" x14ac:dyDescent="0.3">
      <c r="A26" t="s">
        <v>29</v>
      </c>
      <c r="B26" s="3">
        <v>2048</v>
      </c>
      <c r="C26" s="3">
        <v>4500</v>
      </c>
      <c r="D26" s="3">
        <f t="shared" si="0"/>
        <v>2452</v>
      </c>
      <c r="E26" s="1">
        <v>0.54</v>
      </c>
      <c r="F26">
        <v>7</v>
      </c>
      <c r="G26">
        <v>4.3</v>
      </c>
      <c r="H26" t="str" cm="1">
        <f t="array" ref="H26">_xlfn.IFS(G26="","Unknown",G26&lt;3,"Poor rating",G26&lt;=4.4,"Average Rating",G26&gt;4.4,"Excellent Rating")</f>
        <v>Average Rating</v>
      </c>
      <c r="I26" t="str" cm="1">
        <f t="array" ref="I26">_xlfn.IFS(E26&lt;20%,"Low Discount",E26&lt;=40%,"Medium Discount",E26&gt;40%,"High Discount")</f>
        <v>High Discount</v>
      </c>
    </row>
    <row r="27" spans="1:9" x14ac:dyDescent="0.3">
      <c r="A27" t="s">
        <v>30</v>
      </c>
      <c r="B27">
        <v>420</v>
      </c>
      <c r="C27">
        <v>647</v>
      </c>
      <c r="D27" s="3">
        <f t="shared" si="0"/>
        <v>227</v>
      </c>
      <c r="E27" s="1">
        <v>0.35</v>
      </c>
      <c r="F27">
        <v>49</v>
      </c>
      <c r="G27">
        <v>4.5999999999999996</v>
      </c>
      <c r="H27" t="str" cm="1">
        <f t="array" ref="H27">_xlfn.IFS(G27="","Unknown",G27&lt;3,"Poor rating",G27&lt;=4.4,"Average Rating",G27&gt;4.4,"Excellent Rating")</f>
        <v>Excellent Rating</v>
      </c>
      <c r="I27" t="str" cm="1">
        <f t="array" ref="I27">_xlfn.IFS(E27&lt;20%,"Low Discount",E27&lt;=40%,"Medium Discount",E27&gt;40%,"High Discount")</f>
        <v>Medium Discount</v>
      </c>
    </row>
    <row r="28" spans="1:9" x14ac:dyDescent="0.3">
      <c r="A28" t="s">
        <v>31</v>
      </c>
      <c r="B28" s="3">
        <v>2880</v>
      </c>
      <c r="C28" s="3">
        <v>3520</v>
      </c>
      <c r="D28" s="3">
        <f t="shared" si="0"/>
        <v>640</v>
      </c>
      <c r="E28" s="1">
        <v>0.18</v>
      </c>
      <c r="F28">
        <v>12</v>
      </c>
      <c r="G28">
        <v>3.8</v>
      </c>
      <c r="H28" t="str" cm="1">
        <f t="array" ref="H28">_xlfn.IFS(G28="","Unknown",G28&lt;3,"Poor rating",G28&lt;=4.4,"Average Rating",G28&gt;4.4,"Excellent Rating")</f>
        <v>Average Rating</v>
      </c>
      <c r="I28" t="str" cm="1">
        <f t="array" ref="I28">_xlfn.IFS(E28&lt;20%,"Low Discount",E28&lt;=40%,"Medium Discount",E28&gt;40%,"High Discount")</f>
        <v>Low Discount</v>
      </c>
    </row>
    <row r="29" spans="1:9" x14ac:dyDescent="0.3">
      <c r="A29" t="s">
        <v>32</v>
      </c>
      <c r="B29" s="3">
        <v>1350</v>
      </c>
      <c r="C29" s="3">
        <v>1990</v>
      </c>
      <c r="D29" s="3">
        <f t="shared" si="0"/>
        <v>640</v>
      </c>
      <c r="E29" s="1">
        <v>0.32</v>
      </c>
      <c r="F29">
        <v>13</v>
      </c>
      <c r="G29">
        <v>3.8</v>
      </c>
      <c r="H29" t="str" cm="1">
        <f t="array" ref="H29">_xlfn.IFS(G29="","Unknown",G29&lt;3,"Poor rating",G29&lt;=4.4,"Average Rating",G29&gt;4.4,"Excellent Rating")</f>
        <v>Average Rating</v>
      </c>
      <c r="I29" t="str" cm="1">
        <f t="array" ref="I29">_xlfn.IFS(E29&lt;20%,"Low Discount",E29&lt;=40%,"Medium Discount",E29&gt;40%,"High Discount")</f>
        <v>Medium Discount</v>
      </c>
    </row>
    <row r="30" spans="1:9" x14ac:dyDescent="0.3">
      <c r="A30" t="s">
        <v>33</v>
      </c>
      <c r="B30" s="3">
        <v>1758</v>
      </c>
      <c r="C30" s="3">
        <v>2499</v>
      </c>
      <c r="D30" s="3">
        <f t="shared" si="0"/>
        <v>741</v>
      </c>
      <c r="E30" s="1">
        <v>0.3</v>
      </c>
      <c r="F30">
        <v>20</v>
      </c>
      <c r="G30">
        <v>4.0999999999999996</v>
      </c>
      <c r="H30" t="str" cm="1">
        <f t="array" ref="H30">_xlfn.IFS(G30="","Unknown",G30&lt;3,"Poor rating",G30&lt;=4.4,"Average Rating",G30&gt;4.4,"Excellent Rating")</f>
        <v>Average Rating</v>
      </c>
      <c r="I30" t="str" cm="1">
        <f t="array" ref="I30">_xlfn.IFS(E30&lt;20%,"Low Discount",E30&lt;=40%,"Medium Discount",E30&gt;40%,"High Discount")</f>
        <v>Medium Discount</v>
      </c>
    </row>
    <row r="31" spans="1:9" x14ac:dyDescent="0.3">
      <c r="A31" t="s">
        <v>34</v>
      </c>
      <c r="B31" s="3">
        <v>2200</v>
      </c>
      <c r="C31" s="3">
        <v>4080</v>
      </c>
      <c r="D31" s="3">
        <f t="shared" si="0"/>
        <v>1880</v>
      </c>
      <c r="E31" s="1">
        <v>0.46</v>
      </c>
      <c r="H31" t="str" cm="1">
        <f t="array" ref="H31">_xlfn.IFS(G31="","Unknown",G31&lt;3,"Poor rating",G31&lt;=4.4,"Average Rating",G31&gt;4.4,"Excellent Rating")</f>
        <v>Unknown</v>
      </c>
      <c r="I31" t="str" cm="1">
        <f t="array" ref="I31">_xlfn.IFS(E31&lt;20%,"Low Discount",E31&lt;=40%,"Medium Discount",E31&gt;40%,"High Discount")</f>
        <v>High Discount</v>
      </c>
    </row>
    <row r="32" spans="1:9" x14ac:dyDescent="0.3">
      <c r="A32" t="s">
        <v>35</v>
      </c>
      <c r="B32">
        <v>185</v>
      </c>
      <c r="C32">
        <v>382</v>
      </c>
      <c r="D32" s="3">
        <f t="shared" si="0"/>
        <v>197</v>
      </c>
      <c r="E32" s="1">
        <v>0.52</v>
      </c>
      <c r="F32">
        <v>9</v>
      </c>
      <c r="G32">
        <v>4.3</v>
      </c>
      <c r="H32" t="str" cm="1">
        <f t="array" ref="H32">_xlfn.IFS(G32="","Unknown",G32&lt;3,"Poor rating",G32&lt;=4.4,"Average Rating",G32&gt;4.4,"Excellent Rating")</f>
        <v>Average Rating</v>
      </c>
      <c r="I32" t="str" cm="1">
        <f t="array" ref="I32">_xlfn.IFS(E32&lt;20%,"Low Discount",E32&lt;=40%,"Medium Discount",E32&gt;40%,"High Discount")</f>
        <v>High Discount</v>
      </c>
    </row>
    <row r="33" spans="1:9" x14ac:dyDescent="0.3">
      <c r="A33" t="s">
        <v>36</v>
      </c>
      <c r="B33">
        <v>980</v>
      </c>
      <c r="C33" s="3">
        <v>1490</v>
      </c>
      <c r="D33" s="3">
        <f t="shared" si="0"/>
        <v>510</v>
      </c>
      <c r="E33" s="1">
        <v>0.34</v>
      </c>
      <c r="F33">
        <v>12</v>
      </c>
      <c r="G33">
        <v>4.7</v>
      </c>
      <c r="H33" t="str" cm="1">
        <f t="array" ref="H33">_xlfn.IFS(G33="","Unknown",G33&lt;3,"Poor rating",G33&lt;=4.4,"Average Rating",G33&gt;4.4,"Excellent Rating")</f>
        <v>Excellent Rating</v>
      </c>
      <c r="I33" t="str" cm="1">
        <f t="array" ref="I33">_xlfn.IFS(E33&lt;20%,"Low Discount",E33&lt;=40%,"Medium Discount",E33&gt;40%,"High Discount")</f>
        <v>Medium Discount</v>
      </c>
    </row>
    <row r="34" spans="1:9" x14ac:dyDescent="0.3">
      <c r="A34" t="s">
        <v>37</v>
      </c>
      <c r="B34" s="3">
        <v>1820</v>
      </c>
      <c r="C34" s="3">
        <v>3490</v>
      </c>
      <c r="D34" s="3">
        <f t="shared" si="0"/>
        <v>1670</v>
      </c>
      <c r="E34" s="1">
        <v>0.48</v>
      </c>
      <c r="F34">
        <v>9</v>
      </c>
      <c r="G34">
        <v>4.3</v>
      </c>
      <c r="H34" t="str" cm="1">
        <f t="array" ref="H34">_xlfn.IFS(G34="","Unknown",G34&lt;3,"Poor rating",G34&lt;=4.4,"Average Rating",G34&gt;4.4,"Excellent Rating")</f>
        <v>Average Rating</v>
      </c>
      <c r="I34" t="str" cm="1">
        <f t="array" ref="I34">_xlfn.IFS(E34&lt;20%,"Low Discount",E34&lt;=40%,"Medium Discount",E34&gt;40%,"High Discount")</f>
        <v>High Discount</v>
      </c>
    </row>
    <row r="35" spans="1:9" x14ac:dyDescent="0.3">
      <c r="A35" t="s">
        <v>38</v>
      </c>
      <c r="B35" s="3">
        <v>1940</v>
      </c>
      <c r="C35" s="3">
        <v>2650</v>
      </c>
      <c r="D35" s="3">
        <f t="shared" si="0"/>
        <v>710</v>
      </c>
      <c r="E35" s="1">
        <v>0.27</v>
      </c>
      <c r="F35">
        <v>20</v>
      </c>
      <c r="G35">
        <v>4.7</v>
      </c>
      <c r="H35" t="str" cm="1">
        <f t="array" ref="H35">_xlfn.IFS(G35="","Unknown",G35&lt;3,"Poor rating",G35&lt;=4.4,"Average Rating",G35&gt;4.4,"Excellent Rating")</f>
        <v>Excellent Rating</v>
      </c>
      <c r="I35" t="str" cm="1">
        <f t="array" ref="I35">_xlfn.IFS(E35&lt;20%,"Low Discount",E35&lt;=40%,"Medium Discount",E35&gt;40%,"High Discount")</f>
        <v>Medium Discount</v>
      </c>
    </row>
    <row r="36" spans="1:9" x14ac:dyDescent="0.3">
      <c r="A36" t="s">
        <v>39</v>
      </c>
      <c r="B36" s="3">
        <v>1980</v>
      </c>
      <c r="C36" s="3">
        <v>2699</v>
      </c>
      <c r="D36" s="3">
        <f t="shared" si="0"/>
        <v>719</v>
      </c>
      <c r="E36" s="1">
        <v>0.27</v>
      </c>
      <c r="F36">
        <v>32</v>
      </c>
      <c r="G36">
        <v>4.5</v>
      </c>
      <c r="H36" t="str" cm="1">
        <f t="array" ref="H36">_xlfn.IFS(G36="","Unknown",G36&lt;3,"Poor rating",G36&lt;=4.4,"Average Rating",G36&gt;4.4,"Excellent Rating")</f>
        <v>Excellent Rating</v>
      </c>
      <c r="I36" t="str" cm="1">
        <f t="array" ref="I36">_xlfn.IFS(E36&lt;20%,"Low Discount",E36&lt;=40%,"Medium Discount",E36&gt;40%,"High Discount")</f>
        <v>Medium Discount</v>
      </c>
    </row>
    <row r="37" spans="1:9" x14ac:dyDescent="0.3">
      <c r="A37" t="s">
        <v>40</v>
      </c>
      <c r="B37" s="3">
        <v>1620</v>
      </c>
      <c r="C37" s="3">
        <v>2690</v>
      </c>
      <c r="D37" s="3">
        <f t="shared" si="0"/>
        <v>1070</v>
      </c>
      <c r="E37" s="1">
        <v>0.4</v>
      </c>
      <c r="F37">
        <v>1</v>
      </c>
      <c r="G37">
        <v>5</v>
      </c>
      <c r="H37" t="str" cm="1">
        <f t="array" ref="H37">_xlfn.IFS(G37="","Unknown",G37&lt;3,"Poor rating",G37&lt;=4.4,"Average Rating",G37&gt;4.4,"Excellent Rating")</f>
        <v>Excellent Rating</v>
      </c>
      <c r="I37" t="str" cm="1">
        <f t="array" ref="I37">_xlfn.IFS(E37&lt;20%,"Low Discount",E37&lt;=40%,"Medium Discount",E37&gt;40%,"High Discount")</f>
        <v>Medium Discount</v>
      </c>
    </row>
    <row r="38" spans="1:9" x14ac:dyDescent="0.3">
      <c r="A38" t="s">
        <v>41</v>
      </c>
      <c r="B38">
        <v>171</v>
      </c>
      <c r="C38">
        <v>360</v>
      </c>
      <c r="D38" s="3">
        <f t="shared" si="0"/>
        <v>189</v>
      </c>
      <c r="E38" s="1">
        <v>0.53</v>
      </c>
      <c r="F38">
        <v>2</v>
      </c>
      <c r="G38">
        <v>5</v>
      </c>
      <c r="H38" t="str" cm="1">
        <f t="array" ref="H38">_xlfn.IFS(G38="","Unknown",G38&lt;3,"Poor rating",G38&lt;=4.4,"Average Rating",G38&gt;4.4,"Excellent Rating")</f>
        <v>Excellent Rating</v>
      </c>
      <c r="I38" t="str" cm="1">
        <f t="array" ref="I38">_xlfn.IFS(E38&lt;20%,"Low Discount",E38&lt;=40%,"Medium Discount",E38&gt;40%,"High Discount")</f>
        <v>High Discount</v>
      </c>
    </row>
    <row r="39" spans="1:9" x14ac:dyDescent="0.3">
      <c r="A39" t="s">
        <v>42</v>
      </c>
      <c r="B39">
        <v>389</v>
      </c>
      <c r="C39">
        <v>656</v>
      </c>
      <c r="D39" s="3">
        <f t="shared" si="0"/>
        <v>267</v>
      </c>
      <c r="E39" s="1">
        <v>0.41</v>
      </c>
      <c r="F39">
        <v>36</v>
      </c>
      <c r="G39">
        <v>4.3</v>
      </c>
      <c r="H39" t="str" cm="1">
        <f t="array" ref="H39">_xlfn.IFS(G39="","Unknown",G39&lt;3,"Poor rating",G39&lt;=4.4,"Average Rating",G39&gt;4.4,"Excellent Rating")</f>
        <v>Average Rating</v>
      </c>
      <c r="I39" t="str" cm="1">
        <f t="array" ref="I39">_xlfn.IFS(E39&lt;20%,"Low Discount",E39&lt;=40%,"Medium Discount",E39&gt;40%,"High Discount")</f>
        <v>High Discount</v>
      </c>
    </row>
    <row r="40" spans="1:9" x14ac:dyDescent="0.3">
      <c r="A40" t="s">
        <v>43</v>
      </c>
      <c r="B40">
        <f>(1620 +1980)/2</f>
        <v>1800</v>
      </c>
      <c r="C40">
        <f>(2200+3200)/2</f>
        <v>2700</v>
      </c>
      <c r="D40" s="3">
        <f t="shared" si="0"/>
        <v>900</v>
      </c>
      <c r="E40" s="1">
        <v>0.38</v>
      </c>
      <c r="F40">
        <v>2</v>
      </c>
      <c r="G40">
        <v>4.5</v>
      </c>
      <c r="H40" t="str" cm="1">
        <f t="array" ref="H40">_xlfn.IFS(G40="","Unknown",G40&lt;3,"Poor rating",G40&lt;=4.4,"Average Rating",G40&gt;4.4,"Excellent Rating")</f>
        <v>Excellent Rating</v>
      </c>
      <c r="I40" t="str" cm="1">
        <f t="array" ref="I40">_xlfn.IFS(E40&lt;20%,"Low Discount",E40&lt;=40%,"Medium Discount",E40&gt;40%,"High Discount")</f>
        <v>Medium Discount</v>
      </c>
    </row>
    <row r="41" spans="1:9" x14ac:dyDescent="0.3">
      <c r="A41" t="s">
        <v>44</v>
      </c>
      <c r="B41" s="3">
        <v>2750</v>
      </c>
      <c r="C41" s="3">
        <v>4471</v>
      </c>
      <c r="D41" s="3">
        <f t="shared" si="0"/>
        <v>1721</v>
      </c>
      <c r="E41" s="1">
        <v>0.38</v>
      </c>
      <c r="H41" t="str" cm="1">
        <f t="array" ref="H41">_xlfn.IFS(G41="","Unknown",G41&lt;3,"Poor rating",G41&lt;=4.4,"Average Rating",G41&gt;4.4,"Excellent Rating")</f>
        <v>Unknown</v>
      </c>
      <c r="I41" t="str" cm="1">
        <f t="array" ref="I41">_xlfn.IFS(E41&lt;20%,"Low Discount",E41&lt;=40%,"Medium Discount",E41&gt;40%,"High Discount")</f>
        <v>Medium Discount</v>
      </c>
    </row>
    <row r="42" spans="1:9" x14ac:dyDescent="0.3">
      <c r="A42" t="s">
        <v>45</v>
      </c>
      <c r="B42">
        <v>475</v>
      </c>
      <c r="C42">
        <v>931</v>
      </c>
      <c r="D42" s="3">
        <f t="shared" si="0"/>
        <v>456</v>
      </c>
      <c r="E42" s="1">
        <v>0.49</v>
      </c>
      <c r="H42" t="str" cm="1">
        <f t="array" ref="H42">_xlfn.IFS(G42="","Unknown",G42&lt;3,"Poor rating",G42&lt;=4.4,"Average Rating",G42&gt;4.4,"Excellent Rating")</f>
        <v>Unknown</v>
      </c>
      <c r="I42" t="str" cm="1">
        <f t="array" ref="I42">_xlfn.IFS(E42&lt;20%,"Low Discount",E42&lt;=40%,"Medium Discount",E42&gt;40%,"High Discount")</f>
        <v>High Discount</v>
      </c>
    </row>
    <row r="43" spans="1:9" x14ac:dyDescent="0.3">
      <c r="A43" t="s">
        <v>46</v>
      </c>
      <c r="B43">
        <v>238</v>
      </c>
      <c r="C43">
        <v>476</v>
      </c>
      <c r="D43" s="3">
        <f t="shared" si="0"/>
        <v>238</v>
      </c>
      <c r="E43" s="1">
        <v>0.5</v>
      </c>
      <c r="H43" t="str" cm="1">
        <f t="array" ref="H43">_xlfn.IFS(G43="","Unknown",G43&lt;3,"Poor rating",G43&lt;=4.4,"Average Rating",G43&gt;4.4,"Excellent Rating")</f>
        <v>Unknown</v>
      </c>
      <c r="I43" t="str" cm="1">
        <f t="array" ref="I43">_xlfn.IFS(E43&lt;20%,"Low Discount",E43&lt;=40%,"Medium Discount",E43&gt;40%,"High Discount")</f>
        <v>High Discount</v>
      </c>
    </row>
    <row r="44" spans="1:9" x14ac:dyDescent="0.3">
      <c r="A44" t="s">
        <v>48</v>
      </c>
      <c r="B44" s="3">
        <v>2132</v>
      </c>
      <c r="C44" s="3">
        <v>2169</v>
      </c>
      <c r="D44" s="3">
        <f t="shared" si="0"/>
        <v>37</v>
      </c>
      <c r="E44" s="1">
        <v>0.02</v>
      </c>
      <c r="H44" t="str" cm="1">
        <f t="array" ref="H44">_xlfn.IFS(G44="","Unknown",G44&lt;3,"Poor rating",G44&lt;=4.4,"Average Rating",G44&gt;4.4,"Excellent Rating")</f>
        <v>Unknown</v>
      </c>
      <c r="I44" t="str" cm="1">
        <f t="array" ref="I44">_xlfn.IFS(E44&lt;20%,"Low Discount",E44&lt;=40%,"Medium Discount",E44&gt;40%,"High Discount")</f>
        <v>Low Discount</v>
      </c>
    </row>
    <row r="45" spans="1:9" x14ac:dyDescent="0.3">
      <c r="A45" t="s">
        <v>49</v>
      </c>
      <c r="B45">
        <v>999</v>
      </c>
      <c r="C45" s="3">
        <v>2000</v>
      </c>
      <c r="D45" s="3">
        <f t="shared" si="0"/>
        <v>1001</v>
      </c>
      <c r="E45" s="1">
        <v>0.5</v>
      </c>
      <c r="H45" t="str" cm="1">
        <f t="array" ref="H45">_xlfn.IFS(G45="","Unknown",G45&lt;3,"Poor rating",G45&lt;=4.4,"Average Rating",G45&gt;4.4,"Excellent Rating")</f>
        <v>Unknown</v>
      </c>
      <c r="I45" t="str" cm="1">
        <f t="array" ref="I45">_xlfn.IFS(E45&lt;20%,"Low Discount",E45&lt;=40%,"Medium Discount",E45&gt;40%,"High Discount")</f>
        <v>High Discount</v>
      </c>
    </row>
    <row r="46" spans="1:9" x14ac:dyDescent="0.3">
      <c r="A46" t="s">
        <v>50</v>
      </c>
      <c r="B46" s="3">
        <v>1190</v>
      </c>
      <c r="C46" s="3">
        <v>1785</v>
      </c>
      <c r="D46" s="3">
        <f t="shared" si="0"/>
        <v>595</v>
      </c>
      <c r="E46" s="1">
        <v>0.33</v>
      </c>
      <c r="H46" t="str" cm="1">
        <f t="array" ref="H46">_xlfn.IFS(G46="","Unknown",G46&lt;3,"Poor rating",G46&lt;=4.4,"Average Rating",G46&gt;4.4,"Excellent Rating")</f>
        <v>Unknown</v>
      </c>
      <c r="I46" t="str" cm="1">
        <f t="array" ref="I46">_xlfn.IFS(E46&lt;20%,"Low Discount",E46&lt;=40%,"Medium Discount",E46&gt;40%,"High Discount")</f>
        <v>Medium Discount</v>
      </c>
    </row>
    <row r="47" spans="1:9" x14ac:dyDescent="0.3">
      <c r="A47" t="s">
        <v>51</v>
      </c>
      <c r="B47">
        <v>671</v>
      </c>
      <c r="C47" s="3">
        <v>1316</v>
      </c>
      <c r="D47" s="3">
        <f t="shared" si="0"/>
        <v>645</v>
      </c>
      <c r="E47" s="1">
        <v>0.49</v>
      </c>
      <c r="H47" t="str" cm="1">
        <f t="array" ref="H47">_xlfn.IFS(G47="","Unknown",G47&lt;3,"Poor rating",G47&lt;=4.4,"Average Rating",G47&gt;4.4,"Excellent Rating")</f>
        <v>Unknown</v>
      </c>
      <c r="I47" t="str" cm="1">
        <f t="array" ref="I47">_xlfn.IFS(E47&lt;20%,"Low Discount",E47&lt;=40%,"Medium Discount",E47&gt;40%,"High Discount")</f>
        <v>High Discount</v>
      </c>
    </row>
    <row r="48" spans="1:9" x14ac:dyDescent="0.3">
      <c r="A48" t="s">
        <v>52</v>
      </c>
      <c r="B48" s="3">
        <v>1200</v>
      </c>
      <c r="C48" s="3">
        <v>1950</v>
      </c>
      <c r="D48" s="3">
        <f t="shared" si="0"/>
        <v>750</v>
      </c>
      <c r="E48" s="1">
        <v>0.38</v>
      </c>
      <c r="H48" t="str" cm="1">
        <f t="array" ref="H48">_xlfn.IFS(G48="","Unknown",G48&lt;3,"Poor rating",G48&lt;=4.4,"Average Rating",G48&gt;4.4,"Excellent Rating")</f>
        <v>Unknown</v>
      </c>
      <c r="I48" t="str" cm="1">
        <f t="array" ref="I48">_xlfn.IFS(E48&lt;20%,"Low Discount",E48&lt;=40%,"Medium Discount",E48&gt;40%,"High Discount")</f>
        <v>Medium Discount</v>
      </c>
    </row>
    <row r="49" spans="1:9" x14ac:dyDescent="0.3">
      <c r="A49" t="s">
        <v>53</v>
      </c>
      <c r="B49">
        <v>199</v>
      </c>
      <c r="C49">
        <v>504</v>
      </c>
      <c r="D49" s="3">
        <f t="shared" si="0"/>
        <v>305</v>
      </c>
      <c r="E49" s="1">
        <v>0.61</v>
      </c>
      <c r="H49" t="str" cm="1">
        <f t="array" ref="H49">_xlfn.IFS(G49="","Unknown",G49&lt;3,"Poor rating",G49&lt;=4.4,"Average Rating",G49&gt;4.4,"Excellent Rating")</f>
        <v>Unknown</v>
      </c>
      <c r="I49" t="str" cm="1">
        <f t="array" ref="I49">_xlfn.IFS(E49&lt;20%,"Low Discount",E49&lt;=40%,"Medium Discount",E49&gt;40%,"High Discount")</f>
        <v>High Discount</v>
      </c>
    </row>
    <row r="50" spans="1:9" x14ac:dyDescent="0.3">
      <c r="A50" t="s">
        <v>54</v>
      </c>
      <c r="B50">
        <v>299</v>
      </c>
      <c r="C50">
        <v>600</v>
      </c>
      <c r="D50" s="3">
        <f t="shared" si="0"/>
        <v>301</v>
      </c>
      <c r="E50" s="1">
        <v>0.5</v>
      </c>
      <c r="H50" t="str" cm="1">
        <f t="array" ref="H50">_xlfn.IFS(G50="","Unknown",G50&lt;3,"Poor rating",G50&lt;=4.4,"Average Rating",G50&gt;4.4,"Excellent Rating")</f>
        <v>Unknown</v>
      </c>
      <c r="I50" t="str" cm="1">
        <f t="array" ref="I50">_xlfn.IFS(E50&lt;20%,"Low Discount",E50&lt;=40%,"Medium Discount",E50&gt;40%,"High Discount")</f>
        <v>High Discount</v>
      </c>
    </row>
    <row r="51" spans="1:9" x14ac:dyDescent="0.3">
      <c r="A51" t="s">
        <v>55</v>
      </c>
      <c r="B51" s="3">
        <v>1660</v>
      </c>
      <c r="C51" s="3">
        <v>1699</v>
      </c>
      <c r="D51" s="3">
        <f t="shared" si="0"/>
        <v>39</v>
      </c>
      <c r="E51" s="1">
        <v>0.02</v>
      </c>
      <c r="H51" t="str" cm="1">
        <f t="array" ref="H51">_xlfn.IFS(G51="","Unknown",G51&lt;3,"Poor rating",G51&lt;=4.4,"Average Rating",G51&gt;4.4,"Excellent Rating")</f>
        <v>Unknown</v>
      </c>
      <c r="I51" t="str" cm="1">
        <f t="array" ref="I51">_xlfn.IFS(E51&lt;20%,"Low Discount",E51&lt;=40%,"Medium Discount",E51&gt;40%,"High Discount")</f>
        <v>Low Discount</v>
      </c>
    </row>
    <row r="52" spans="1:9" x14ac:dyDescent="0.3">
      <c r="A52" t="s">
        <v>56</v>
      </c>
      <c r="B52">
        <v>299</v>
      </c>
      <c r="C52">
        <v>384</v>
      </c>
      <c r="D52" s="3">
        <f t="shared" si="0"/>
        <v>85</v>
      </c>
      <c r="E52" s="1">
        <v>0.22</v>
      </c>
      <c r="H52" t="str" cm="1">
        <f t="array" ref="H52">_xlfn.IFS(G52="","Unknown",G52&lt;3,"Poor rating",G52&lt;=4.4,"Average Rating",G52&gt;4.4,"Excellent Rating")</f>
        <v>Unknown</v>
      </c>
      <c r="I52" t="str" cm="1">
        <f t="array" ref="I52">_xlfn.IFS(E52&lt;20%,"Low Discount",E52&lt;=40%,"Medium Discount",E52&gt;40%,"High Discount")</f>
        <v>Medium Discount</v>
      </c>
    </row>
    <row r="53" spans="1:9" x14ac:dyDescent="0.3">
      <c r="A53" t="s">
        <v>57</v>
      </c>
      <c r="B53" s="3">
        <v>1459</v>
      </c>
      <c r="C53" s="3">
        <v>1499</v>
      </c>
      <c r="D53" s="3">
        <f t="shared" si="0"/>
        <v>40</v>
      </c>
      <c r="E53" s="1">
        <v>0.03</v>
      </c>
      <c r="H53" t="str" cm="1">
        <f t="array" ref="H53">_xlfn.IFS(G53="","Unknown",G53&lt;3,"Poor rating",G53&lt;=4.4,"Average Rating",G53&gt;4.4,"Excellent Rating")</f>
        <v>Unknown</v>
      </c>
      <c r="I53" t="str" cm="1">
        <f t="array" ref="I53">_xlfn.IFS(E53&lt;20%,"Low Discount",E53&lt;=40%,"Medium Discount",E53&gt;40%,"High Discount")</f>
        <v>Low Discount</v>
      </c>
    </row>
    <row r="54" spans="1:9" x14ac:dyDescent="0.3">
      <c r="A54" t="s">
        <v>58</v>
      </c>
      <c r="B54">
        <v>799</v>
      </c>
      <c r="C54" s="3">
        <v>1343</v>
      </c>
      <c r="D54" s="3">
        <f t="shared" si="0"/>
        <v>544</v>
      </c>
      <c r="E54" s="1">
        <v>0.41</v>
      </c>
      <c r="H54" t="str" cm="1">
        <f t="array" ref="H54">_xlfn.IFS(G54="","Unknown",G54&lt;3,"Poor rating",G54&lt;=4.4,"Average Rating",G54&gt;4.4,"Excellent Rating")</f>
        <v>Unknown</v>
      </c>
      <c r="I54" t="str" cm="1">
        <f t="array" ref="I54">_xlfn.IFS(E54&lt;20%,"Low Discount",E54&lt;=40%,"Medium Discount",E54&gt;40%,"High Discount")</f>
        <v>High Discount</v>
      </c>
    </row>
    <row r="55" spans="1:9" x14ac:dyDescent="0.3">
      <c r="A55" t="s">
        <v>59</v>
      </c>
      <c r="B55">
        <v>499</v>
      </c>
      <c r="C55">
        <v>900</v>
      </c>
      <c r="D55" s="3">
        <f t="shared" si="0"/>
        <v>401</v>
      </c>
      <c r="E55" s="1">
        <v>0.45</v>
      </c>
      <c r="H55" t="str" cm="1">
        <f t="array" ref="H55">_xlfn.IFS(G55="","Unknown",G55&lt;3,"Poor rating",G55&lt;=4.4,"Average Rating",G55&gt;4.4,"Excellent Rating")</f>
        <v>Unknown</v>
      </c>
      <c r="I55" t="str" cm="1">
        <f t="array" ref="I55">_xlfn.IFS(E55&lt;20%,"Low Discount",E55&lt;=40%,"Medium Discount",E55&gt;40%,"High Discount")</f>
        <v>High Discount</v>
      </c>
    </row>
    <row r="56" spans="1:9" x14ac:dyDescent="0.3">
      <c r="A56" t="s">
        <v>60</v>
      </c>
      <c r="B56">
        <v>699</v>
      </c>
      <c r="C56" s="3">
        <v>1343</v>
      </c>
      <c r="D56" s="3">
        <f t="shared" si="0"/>
        <v>644</v>
      </c>
      <c r="E56" s="1">
        <v>0.48</v>
      </c>
      <c r="H56" t="str" cm="1">
        <f t="array" ref="H56">_xlfn.IFS(G56="","Unknown",G56&lt;3,"Poor rating",G56&lt;=4.4,"Average Rating",G56&gt;4.4,"Excellent Rating")</f>
        <v>Unknown</v>
      </c>
      <c r="I56" t="str" cm="1">
        <f t="array" ref="I56">_xlfn.IFS(E56&lt;20%,"Low Discount",E56&lt;=40%,"Medium Discount",E56&gt;40%,"High Discount")</f>
        <v>High Discount</v>
      </c>
    </row>
    <row r="57" spans="1:9" x14ac:dyDescent="0.3">
      <c r="A57" t="s">
        <v>61</v>
      </c>
      <c r="B57">
        <v>799</v>
      </c>
      <c r="C57" s="3">
        <v>1567</v>
      </c>
      <c r="D57" s="3">
        <f t="shared" si="0"/>
        <v>768</v>
      </c>
      <c r="E57" s="1">
        <v>0.49</v>
      </c>
      <c r="H57" t="str" cm="1">
        <f t="array" ref="H57">_xlfn.IFS(G57="","Unknown",G57&lt;3,"Poor rating",G57&lt;=4.4,"Average Rating",G57&gt;4.4,"Excellent Rating")</f>
        <v>Unknown</v>
      </c>
      <c r="I57" t="str" cm="1">
        <f t="array" ref="I57">_xlfn.IFS(E57&lt;20%,"Low Discount",E57&lt;=40%,"Medium Discount",E57&gt;40%,"High Discount")</f>
        <v>High Discount</v>
      </c>
    </row>
    <row r="58" spans="1:9" x14ac:dyDescent="0.3">
      <c r="A58" t="s">
        <v>62</v>
      </c>
      <c r="B58" s="3">
        <v>2799</v>
      </c>
      <c r="C58" s="3">
        <v>3810</v>
      </c>
      <c r="D58" s="3">
        <f t="shared" si="0"/>
        <v>1011</v>
      </c>
      <c r="E58" s="1">
        <v>0.27</v>
      </c>
      <c r="H58" t="str" cm="1">
        <f t="array" ref="H58">_xlfn.IFS(G58="","Unknown",G58&lt;3,"Poor rating",G58&lt;=4.4,"Average Rating",G58&gt;4.4,"Excellent Rating")</f>
        <v>Unknown</v>
      </c>
      <c r="I58" t="str" cm="1">
        <f t="array" ref="I58">_xlfn.IFS(E58&lt;20%,"Low Discount",E58&lt;=40%,"Medium Discount",E58&gt;40%,"High Discount")</f>
        <v>Medium Discount</v>
      </c>
    </row>
    <row r="59" spans="1:9" x14ac:dyDescent="0.3">
      <c r="A59" t="s">
        <v>59</v>
      </c>
      <c r="B59">
        <v>399</v>
      </c>
      <c r="C59">
        <v>896</v>
      </c>
      <c r="D59" s="3">
        <f t="shared" si="0"/>
        <v>497</v>
      </c>
      <c r="E59" s="1">
        <v>0.55000000000000004</v>
      </c>
      <c r="H59" t="str" cm="1">
        <f t="array" ref="H59">_xlfn.IFS(G59="","Unknown",G59&lt;3,"Poor rating",G59&lt;=4.4,"Average Rating",G59&gt;4.4,"Excellent Rating")</f>
        <v>Unknown</v>
      </c>
      <c r="I59" t="str" cm="1">
        <f t="array" ref="I59">_xlfn.IFS(E59&lt;20%,"Low Discount",E59&lt;=40%,"Medium Discount",E59&gt;40%,"High Discount")</f>
        <v>High Discount</v>
      </c>
    </row>
    <row r="60" spans="1:9" x14ac:dyDescent="0.3">
      <c r="A60" t="s">
        <v>63</v>
      </c>
      <c r="B60" s="3">
        <v>2170</v>
      </c>
      <c r="C60" s="3">
        <v>2500</v>
      </c>
      <c r="D60" s="3">
        <f t="shared" si="0"/>
        <v>330</v>
      </c>
      <c r="E60" s="1">
        <v>0.13</v>
      </c>
      <c r="F60">
        <v>6</v>
      </c>
      <c r="G60">
        <v>2.5</v>
      </c>
      <c r="H60" t="str" cm="1">
        <f t="array" ref="H60">_xlfn.IFS(G60="","Unknown",G60&lt;3,"Poor rating",G60&lt;=4.4,"Average Rating",G60&gt;4.4,"Excellent Rating")</f>
        <v>Poor rating</v>
      </c>
      <c r="I60" t="str" cm="1">
        <f t="array" ref="I60">_xlfn.IFS(E60&lt;20%,"Low Discount",E60&lt;=40%,"Medium Discount",E60&gt;40%,"High Discount")</f>
        <v>Low Discount</v>
      </c>
    </row>
    <row r="61" spans="1:9" x14ac:dyDescent="0.3">
      <c r="A61" t="s">
        <v>64</v>
      </c>
      <c r="B61">
        <v>458</v>
      </c>
      <c r="C61">
        <v>986</v>
      </c>
      <c r="D61" s="3">
        <f t="shared" si="0"/>
        <v>528</v>
      </c>
      <c r="E61" s="1">
        <v>0.54</v>
      </c>
      <c r="F61">
        <v>10</v>
      </c>
      <c r="G61">
        <v>3</v>
      </c>
      <c r="H61" t="str" cm="1">
        <f t="array" ref="H61">_xlfn.IFS(G61="","Unknown",G61&lt;3,"Poor rating",G61&lt;=4.4,"Average Rating",G61&gt;4.4,"Excellent Rating")</f>
        <v>Average Rating</v>
      </c>
      <c r="I61" t="str" cm="1">
        <f t="array" ref="I61">_xlfn.IFS(E61&lt;20%,"Low Discount",E61&lt;=40%,"Medium Discount",E61&gt;40%,"High Discount")</f>
        <v>High Discount</v>
      </c>
    </row>
    <row r="62" spans="1:9" x14ac:dyDescent="0.3">
      <c r="A62" t="s">
        <v>65</v>
      </c>
      <c r="B62" s="3">
        <v>2115</v>
      </c>
      <c r="C62" s="3">
        <v>4700</v>
      </c>
      <c r="D62" s="3">
        <f t="shared" si="0"/>
        <v>2585</v>
      </c>
      <c r="E62" s="1">
        <v>0.55000000000000004</v>
      </c>
      <c r="F62">
        <v>13</v>
      </c>
      <c r="G62">
        <v>2.1</v>
      </c>
      <c r="H62" t="str" cm="1">
        <f t="array" ref="H62">_xlfn.IFS(G62="","Unknown",G62&lt;3,"Poor rating",G62&lt;=4.4,"Average Rating",G62&gt;4.4,"Excellent Rating")</f>
        <v>Poor rating</v>
      </c>
      <c r="I62" t="str" cm="1">
        <f t="array" ref="I62">_xlfn.IFS(E62&lt;20%,"Low Discount",E62&lt;=40%,"Medium Discount",E62&gt;40%,"High Discount")</f>
        <v>High Discount</v>
      </c>
    </row>
    <row r="63" spans="1:9" x14ac:dyDescent="0.3">
      <c r="A63" t="s">
        <v>66</v>
      </c>
      <c r="B63">
        <v>445</v>
      </c>
      <c r="C63">
        <v>873</v>
      </c>
      <c r="D63" s="3">
        <f t="shared" si="0"/>
        <v>428</v>
      </c>
      <c r="E63" s="1">
        <v>0.49</v>
      </c>
      <c r="F63">
        <v>69</v>
      </c>
      <c r="G63">
        <v>2.8</v>
      </c>
      <c r="H63" t="str" cm="1">
        <f t="array" ref="H63">_xlfn.IFS(G63="","Unknown",G63&lt;3,"Poor rating",G63&lt;=4.4,"Average Rating",G63&gt;4.4,"Excellent Rating")</f>
        <v>Poor rating</v>
      </c>
      <c r="I63" t="str" cm="1">
        <f t="array" ref="I63">_xlfn.IFS(E63&lt;20%,"Low Discount",E63&lt;=40%,"Medium Discount",E63&gt;40%,"High Discount")</f>
        <v>High Discount</v>
      </c>
    </row>
    <row r="64" spans="1:9" x14ac:dyDescent="0.3">
      <c r="A64" t="s">
        <v>67</v>
      </c>
      <c r="B64">
        <v>325</v>
      </c>
      <c r="C64">
        <v>680</v>
      </c>
      <c r="D64" s="3">
        <f t="shared" si="0"/>
        <v>355</v>
      </c>
      <c r="E64" s="1">
        <v>0.52</v>
      </c>
      <c r="F64">
        <v>15</v>
      </c>
      <c r="G64">
        <v>2.7</v>
      </c>
      <c r="H64" t="str" cm="1">
        <f t="array" ref="H64">_xlfn.IFS(G64="","Unknown",G64&lt;3,"Poor rating",G64&lt;=4.4,"Average Rating",G64&gt;4.4,"Excellent Rating")</f>
        <v>Poor rating</v>
      </c>
      <c r="I64" t="str" cm="1">
        <f t="array" ref="I64">_xlfn.IFS(E64&lt;20%,"Low Discount",E64&lt;=40%,"Medium Discount",E64&gt;40%,"High Discount")</f>
        <v>High Discount</v>
      </c>
    </row>
    <row r="65" spans="1:9" x14ac:dyDescent="0.3">
      <c r="A65" t="s">
        <v>68</v>
      </c>
      <c r="B65" s="3">
        <v>1220</v>
      </c>
      <c r="C65" s="3">
        <v>1555</v>
      </c>
      <c r="D65" s="3">
        <f t="shared" ref="D65:D113" si="1">C65-B65</f>
        <v>335</v>
      </c>
      <c r="E65" s="1">
        <v>0.22</v>
      </c>
      <c r="F65">
        <v>16</v>
      </c>
      <c r="G65">
        <v>2.9</v>
      </c>
      <c r="H65" t="str" cm="1">
        <f t="array" ref="H65">_xlfn.IFS(G65="","Unknown",G65&lt;3,"Poor rating",G65&lt;=4.4,"Average Rating",G65&gt;4.4,"Excellent Rating")</f>
        <v>Poor rating</v>
      </c>
      <c r="I65" t="str" cm="1">
        <f t="array" ref="I65">_xlfn.IFS(E65&lt;20%,"Low Discount",E65&lt;=40%,"Medium Discount",E65&gt;40%,"High Discount")</f>
        <v>Medium Discount</v>
      </c>
    </row>
    <row r="66" spans="1:9" x14ac:dyDescent="0.3">
      <c r="A66" t="s">
        <v>69</v>
      </c>
      <c r="B66">
        <v>990</v>
      </c>
      <c r="C66" s="3">
        <v>1814</v>
      </c>
      <c r="D66" s="3">
        <f t="shared" si="1"/>
        <v>824</v>
      </c>
      <c r="E66" s="1">
        <v>0.45</v>
      </c>
      <c r="F66">
        <v>6</v>
      </c>
      <c r="G66">
        <v>2.2000000000000002</v>
      </c>
      <c r="H66" t="str" cm="1">
        <f t="array" ref="H66">_xlfn.IFS(G66="","Unknown",G66&lt;3,"Poor rating",G66&lt;=4.4,"Average Rating",G66&gt;4.4,"Excellent Rating")</f>
        <v>Poor rating</v>
      </c>
      <c r="I66" t="str" cm="1">
        <f t="array" ref="I66">_xlfn.IFS(E66&lt;20%,"Low Discount",E66&lt;=40%,"Medium Discount",E66&gt;40%,"High Discount")</f>
        <v>High Discount</v>
      </c>
    </row>
    <row r="67" spans="1:9" x14ac:dyDescent="0.3">
      <c r="A67" t="s">
        <v>70</v>
      </c>
      <c r="B67" s="3">
        <v>1000</v>
      </c>
      <c r="C67" s="3">
        <v>2000</v>
      </c>
      <c r="D67" s="3">
        <f t="shared" si="1"/>
        <v>1000</v>
      </c>
      <c r="E67" s="1">
        <v>0.5</v>
      </c>
      <c r="F67">
        <v>7</v>
      </c>
      <c r="G67">
        <v>2.2999999999999998</v>
      </c>
      <c r="H67" t="str" cm="1">
        <f t="array" ref="H67">_xlfn.IFS(G67="","Unknown",G67&lt;3,"Poor rating",G67&lt;=4.4,"Average Rating",G67&gt;4.4,"Excellent Rating")</f>
        <v>Poor rating</v>
      </c>
      <c r="I67" t="str" cm="1">
        <f t="array" ref="I67">_xlfn.IFS(E67&lt;20%,"Low Discount",E67&lt;=40%,"Medium Discount",E67&gt;40%,"High Discount")</f>
        <v>High Discount</v>
      </c>
    </row>
    <row r="68" spans="1:9" x14ac:dyDescent="0.3">
      <c r="A68" t="s">
        <v>71</v>
      </c>
      <c r="B68" s="3">
        <v>3750</v>
      </c>
      <c r="C68" s="3">
        <v>6143</v>
      </c>
      <c r="D68" s="3">
        <f t="shared" si="1"/>
        <v>2393</v>
      </c>
      <c r="E68" s="1">
        <v>0.39</v>
      </c>
      <c r="F68">
        <v>5</v>
      </c>
      <c r="G68">
        <v>3</v>
      </c>
      <c r="H68" t="str" cm="1">
        <f t="array" ref="H68">_xlfn.IFS(G68="","Unknown",G68&lt;3,"Poor rating",G68&lt;=4.4,"Average Rating",G68&gt;4.4,"Excellent Rating")</f>
        <v>Average Rating</v>
      </c>
      <c r="I68" t="str" cm="1">
        <f t="array" ref="I68">_xlfn.IFS(E68&lt;20%,"Low Discount",E68&lt;=40%,"Medium Discount",E68&gt;40%,"High Discount")</f>
        <v>Medium Discount</v>
      </c>
    </row>
    <row r="69" spans="1:9" x14ac:dyDescent="0.3">
      <c r="A69" t="s">
        <v>72</v>
      </c>
      <c r="B69">
        <v>382</v>
      </c>
      <c r="C69">
        <v>700</v>
      </c>
      <c r="D69" s="3">
        <f t="shared" si="1"/>
        <v>318</v>
      </c>
      <c r="E69" s="1">
        <v>0.45</v>
      </c>
      <c r="F69">
        <v>17</v>
      </c>
      <c r="G69">
        <v>2.6</v>
      </c>
      <c r="H69" t="str" cm="1">
        <f t="array" ref="H69">_xlfn.IFS(G69="","Unknown",G69&lt;3,"Poor rating",G69&lt;=4.4,"Average Rating",G69&gt;4.4,"Excellent Rating")</f>
        <v>Poor rating</v>
      </c>
      <c r="I69" t="str" cm="1">
        <f t="array" ref="I69">_xlfn.IFS(E69&lt;20%,"Low Discount",E69&lt;=40%,"Medium Discount",E69&gt;40%,"High Discount")</f>
        <v>High Discount</v>
      </c>
    </row>
    <row r="70" spans="1:9" x14ac:dyDescent="0.3">
      <c r="A70" t="s">
        <v>73</v>
      </c>
      <c r="B70" s="3">
        <v>2300</v>
      </c>
      <c r="C70" s="3">
        <v>3240</v>
      </c>
      <c r="D70" s="3">
        <f t="shared" si="1"/>
        <v>940</v>
      </c>
      <c r="E70" s="1">
        <v>0.28999999999999998</v>
      </c>
      <c r="F70">
        <v>5</v>
      </c>
      <c r="G70">
        <v>3</v>
      </c>
      <c r="H70" t="str" cm="1">
        <f t="array" ref="H70">_xlfn.IFS(G70="","Unknown",G70&lt;3,"Poor rating",G70&lt;=4.4,"Average Rating",G70&gt;4.4,"Excellent Rating")</f>
        <v>Average Rating</v>
      </c>
      <c r="I70" t="str" cm="1">
        <f t="array" ref="I70">_xlfn.IFS(E70&lt;20%,"Low Discount",E70&lt;=40%,"Medium Discount",E70&gt;40%,"High Discount")</f>
        <v>Medium Discount</v>
      </c>
    </row>
    <row r="71" spans="1:9" x14ac:dyDescent="0.3">
      <c r="A71" t="s">
        <v>74</v>
      </c>
      <c r="B71">
        <v>345</v>
      </c>
      <c r="C71">
        <v>602</v>
      </c>
      <c r="D71" s="3">
        <f t="shared" si="1"/>
        <v>257</v>
      </c>
      <c r="E71" s="1">
        <v>0.43</v>
      </c>
      <c r="F71">
        <v>6</v>
      </c>
      <c r="G71">
        <v>2.2999999999999998</v>
      </c>
      <c r="H71" t="str" cm="1">
        <f t="array" ref="H71">_xlfn.IFS(G71="","Unknown",G71&lt;3,"Poor rating",G71&lt;=4.4,"Average Rating",G71&gt;4.4,"Excellent Rating")</f>
        <v>Poor rating</v>
      </c>
      <c r="I71" t="str" cm="1">
        <f t="array" ref="I71">_xlfn.IFS(E71&lt;20%,"Low Discount",E71&lt;=40%,"Medium Discount",E71&gt;40%,"High Discount")</f>
        <v>High Discount</v>
      </c>
    </row>
    <row r="72" spans="1:9" x14ac:dyDescent="0.3">
      <c r="A72" t="s">
        <v>75</v>
      </c>
      <c r="B72">
        <v>509</v>
      </c>
      <c r="C72">
        <v>899</v>
      </c>
      <c r="D72" s="3">
        <f t="shared" si="1"/>
        <v>390</v>
      </c>
      <c r="E72" s="1">
        <v>0.43</v>
      </c>
      <c r="F72">
        <v>5</v>
      </c>
      <c r="G72">
        <v>3</v>
      </c>
      <c r="H72" t="str" cm="1">
        <f t="array" ref="H72">_xlfn.IFS(G72="","Unknown",G72&lt;3,"Poor rating",G72&lt;=4.4,"Average Rating",G72&gt;4.4,"Excellent Rating")</f>
        <v>Average Rating</v>
      </c>
      <c r="I72" t="str" cm="1">
        <f t="array" ref="I72">_xlfn.IFS(E72&lt;20%,"Low Discount",E72&lt;=40%,"Medium Discount",E72&gt;40%,"High Discount")</f>
        <v>High Discount</v>
      </c>
    </row>
    <row r="73" spans="1:9" x14ac:dyDescent="0.3">
      <c r="A73" t="s">
        <v>76</v>
      </c>
      <c r="B73">
        <v>968</v>
      </c>
      <c r="C73" s="3">
        <v>1814</v>
      </c>
      <c r="D73" s="3">
        <f t="shared" si="1"/>
        <v>846</v>
      </c>
      <c r="E73" s="1">
        <v>0.47</v>
      </c>
      <c r="F73">
        <v>6</v>
      </c>
      <c r="G73">
        <v>2.2000000000000002</v>
      </c>
      <c r="H73" t="str" cm="1">
        <f t="array" ref="H73">_xlfn.IFS(G73="","Unknown",G73&lt;3,"Poor rating",G73&lt;=4.4,"Average Rating",G73&gt;4.4,"Excellent Rating")</f>
        <v>Poor rating</v>
      </c>
      <c r="I73" t="str" cm="1">
        <f t="array" ref="I73">_xlfn.IFS(E73&lt;20%,"Low Discount",E73&lt;=40%,"Medium Discount",E73&gt;40%,"High Discount")</f>
        <v>High Discount</v>
      </c>
    </row>
    <row r="74" spans="1:9" x14ac:dyDescent="0.3">
      <c r="A74" t="s">
        <v>77</v>
      </c>
      <c r="B74" s="3">
        <v>1570</v>
      </c>
      <c r="C74" s="3">
        <v>2988</v>
      </c>
      <c r="D74" s="3">
        <f t="shared" si="1"/>
        <v>1418</v>
      </c>
      <c r="E74" s="1">
        <v>0.47</v>
      </c>
      <c r="F74">
        <v>7</v>
      </c>
      <c r="G74">
        <v>2.1</v>
      </c>
      <c r="H74" t="str" cm="1">
        <f t="array" ref="H74">_xlfn.IFS(G74="","Unknown",G74&lt;3,"Poor rating",G74&lt;=4.4,"Average Rating",G74&gt;4.4,"Excellent Rating")</f>
        <v>Poor rating</v>
      </c>
      <c r="I74" t="str" cm="1">
        <f t="array" ref="I74">_xlfn.IFS(E74&lt;20%,"Low Discount",E74&lt;=40%,"Medium Discount",E74&gt;40%,"High Discount")</f>
        <v>High Discount</v>
      </c>
    </row>
    <row r="75" spans="1:9" x14ac:dyDescent="0.3">
      <c r="A75" t="s">
        <v>78</v>
      </c>
      <c r="B75">
        <v>790</v>
      </c>
      <c r="C75" s="3">
        <v>1485</v>
      </c>
      <c r="D75" s="3">
        <f t="shared" si="1"/>
        <v>695</v>
      </c>
      <c r="E75" s="1">
        <v>0.47</v>
      </c>
      <c r="H75" t="str" cm="1">
        <f t="array" ref="H75">_xlfn.IFS(G75="","Unknown",G75&lt;3,"Poor rating",G75&lt;=4.4,"Average Rating",G75&gt;4.4,"Excellent Rating")</f>
        <v>Unknown</v>
      </c>
      <c r="I75" t="str" cm="1">
        <f t="array" ref="I75">_xlfn.IFS(E75&lt;20%,"Low Discount",E75&lt;=40%,"Medium Discount",E75&gt;40%,"High Discount")</f>
        <v>High Discount</v>
      </c>
    </row>
    <row r="76" spans="1:9" x14ac:dyDescent="0.3">
      <c r="A76" t="s">
        <v>79</v>
      </c>
      <c r="B76">
        <v>690</v>
      </c>
      <c r="C76" s="3">
        <v>1200</v>
      </c>
      <c r="D76" s="3">
        <f t="shared" si="1"/>
        <v>510</v>
      </c>
      <c r="E76" s="1">
        <v>0.43</v>
      </c>
      <c r="H76" t="str" cm="1">
        <f t="array" ref="H76">_xlfn.IFS(G76="","Unknown",G76&lt;3,"Poor rating",G76&lt;=4.4,"Average Rating",G76&gt;4.4,"Excellent Rating")</f>
        <v>Unknown</v>
      </c>
      <c r="I76" t="str" cm="1">
        <f t="array" ref="I76">_xlfn.IFS(E76&lt;20%,"Low Discount",E76&lt;=40%,"Medium Discount",E76&gt;40%,"High Discount")</f>
        <v>High Discount</v>
      </c>
    </row>
    <row r="77" spans="1:9" x14ac:dyDescent="0.3">
      <c r="A77" t="s">
        <v>80</v>
      </c>
      <c r="B77" s="3">
        <v>1732</v>
      </c>
      <c r="C77" s="3">
        <v>1799</v>
      </c>
      <c r="D77" s="3">
        <f t="shared" si="1"/>
        <v>67</v>
      </c>
      <c r="E77" s="1">
        <v>0.04</v>
      </c>
      <c r="H77" t="str" cm="1">
        <f t="array" ref="H77">_xlfn.IFS(G77="","Unknown",G77&lt;3,"Poor rating",G77&lt;=4.4,"Average Rating",G77&gt;4.4,"Excellent Rating")</f>
        <v>Unknown</v>
      </c>
      <c r="I77" t="str" cm="1">
        <f t="array" ref="I77">_xlfn.IFS(E77&lt;20%,"Low Discount",E77&lt;=40%,"Medium Discount",E77&gt;40%,"High Discount")</f>
        <v>Low Discount</v>
      </c>
    </row>
    <row r="78" spans="1:9" x14ac:dyDescent="0.3">
      <c r="A78" t="s">
        <v>81</v>
      </c>
      <c r="B78">
        <v>230</v>
      </c>
      <c r="C78">
        <v>450</v>
      </c>
      <c r="D78" s="3">
        <f t="shared" si="1"/>
        <v>220</v>
      </c>
      <c r="E78" s="1">
        <v>0.49</v>
      </c>
      <c r="H78" t="str" cm="1">
        <f t="array" ref="H78">_xlfn.IFS(G78="","Unknown",G78&lt;3,"Poor rating",G78&lt;=4.4,"Average Rating",G78&gt;4.4,"Excellent Rating")</f>
        <v>Unknown</v>
      </c>
      <c r="I78" t="str" cm="1">
        <f t="array" ref="I78">_xlfn.IFS(E78&lt;20%,"Low Discount",E78&lt;=40%,"Medium Discount",E78&gt;40%,"High Discount")</f>
        <v>High Discount</v>
      </c>
    </row>
    <row r="79" spans="1:9" x14ac:dyDescent="0.3">
      <c r="A79" t="s">
        <v>82</v>
      </c>
      <c r="B79" s="3">
        <v>1189</v>
      </c>
      <c r="C79" s="3">
        <v>2199</v>
      </c>
      <c r="D79" s="3">
        <f t="shared" si="1"/>
        <v>1010</v>
      </c>
      <c r="E79" s="1">
        <v>0.46</v>
      </c>
      <c r="F79">
        <v>1</v>
      </c>
      <c r="G79">
        <v>3</v>
      </c>
      <c r="H79" t="str" cm="1">
        <f t="array" ref="H79">_xlfn.IFS(G79="","Unknown",G79&lt;3,"Poor rating",G79&lt;=4.4,"Average Rating",G79&gt;4.4,"Excellent Rating")</f>
        <v>Average Rating</v>
      </c>
      <c r="I79" t="str" cm="1">
        <f t="array" ref="I79">_xlfn.IFS(E79&lt;20%,"Low Discount",E79&lt;=40%,"Medium Discount",E79&gt;40%,"High Discount")</f>
        <v>High Discount</v>
      </c>
    </row>
    <row r="80" spans="1:9" x14ac:dyDescent="0.3">
      <c r="A80" t="s">
        <v>83</v>
      </c>
      <c r="B80">
        <v>979</v>
      </c>
      <c r="C80" s="3">
        <v>1920</v>
      </c>
      <c r="D80" s="3">
        <f t="shared" si="1"/>
        <v>941</v>
      </c>
      <c r="E80" s="1">
        <v>0.49</v>
      </c>
      <c r="F80">
        <v>1</v>
      </c>
      <c r="G80">
        <v>5</v>
      </c>
      <c r="H80" t="str" cm="1">
        <f t="array" ref="H80">_xlfn.IFS(G80="","Unknown",G80&lt;3,"Poor rating",G80&lt;=4.4,"Average Rating",G80&gt;4.4,"Excellent Rating")</f>
        <v>Excellent Rating</v>
      </c>
      <c r="I80" t="str" cm="1">
        <f t="array" ref="I80">_xlfn.IFS(E80&lt;20%,"Low Discount",E80&lt;=40%,"Medium Discount",E80&gt;40%,"High Discount")</f>
        <v>High Discount</v>
      </c>
    </row>
    <row r="81" spans="1:9" x14ac:dyDescent="0.3">
      <c r="A81" t="s">
        <v>84</v>
      </c>
      <c r="B81" s="3">
        <v>1460</v>
      </c>
      <c r="C81" s="3">
        <v>2290</v>
      </c>
      <c r="D81" s="3">
        <f t="shared" si="1"/>
        <v>830</v>
      </c>
      <c r="E81" s="1">
        <v>0.36</v>
      </c>
      <c r="H81" t="str" cm="1">
        <f t="array" ref="H81">_xlfn.IFS(G81="","Unknown",G81&lt;3,"Poor rating",G81&lt;=4.4,"Average Rating",G81&gt;4.4,"Excellent Rating")</f>
        <v>Unknown</v>
      </c>
      <c r="I81" t="str" cm="1">
        <f t="array" ref="I81">_xlfn.IFS(E81&lt;20%,"Low Discount",E81&lt;=40%,"Medium Discount",E81&gt;40%,"High Discount")</f>
        <v>Medium Discount</v>
      </c>
    </row>
    <row r="82" spans="1:9" x14ac:dyDescent="0.3">
      <c r="A82" t="s">
        <v>85</v>
      </c>
      <c r="B82" s="3">
        <v>1666</v>
      </c>
      <c r="C82" s="3">
        <v>1699</v>
      </c>
      <c r="D82" s="3">
        <f t="shared" si="1"/>
        <v>33</v>
      </c>
      <c r="E82" s="1">
        <v>0.02</v>
      </c>
      <c r="H82" t="str" cm="1">
        <f t="array" ref="H82">_xlfn.IFS(G82="","Unknown",G82&lt;3,"Poor rating",G82&lt;=4.4,"Average Rating",G82&gt;4.4,"Excellent Rating")</f>
        <v>Unknown</v>
      </c>
      <c r="I82" t="str" cm="1">
        <f t="array" ref="I82">_xlfn.IFS(E82&lt;20%,"Low Discount",E82&lt;=40%,"Medium Discount",E82&gt;40%,"High Discount")</f>
        <v>Low Discount</v>
      </c>
    </row>
    <row r="83" spans="1:9" x14ac:dyDescent="0.3">
      <c r="A83" t="s">
        <v>86</v>
      </c>
      <c r="B83">
        <v>330</v>
      </c>
      <c r="C83">
        <v>647</v>
      </c>
      <c r="D83" s="3">
        <f t="shared" si="1"/>
        <v>317</v>
      </c>
      <c r="E83" s="1">
        <v>0.49</v>
      </c>
      <c r="F83">
        <v>1</v>
      </c>
      <c r="G83">
        <v>4</v>
      </c>
      <c r="H83" t="str" cm="1">
        <f t="array" ref="H83">_xlfn.IFS(G83="","Unknown",G83&lt;3,"Poor rating",G83&lt;=4.4,"Average Rating",G83&gt;4.4,"Excellent Rating")</f>
        <v>Average Rating</v>
      </c>
      <c r="I83" t="str" cm="1">
        <f t="array" ref="I83">_xlfn.IFS(E83&lt;20%,"Low Discount",E83&lt;=40%,"Medium Discount",E83&gt;40%,"High Discount")</f>
        <v>High Discount</v>
      </c>
    </row>
    <row r="84" spans="1:9" x14ac:dyDescent="0.3">
      <c r="A84" t="s">
        <v>47</v>
      </c>
      <c r="B84">
        <v>610</v>
      </c>
      <c r="C84" s="3">
        <v>1060</v>
      </c>
      <c r="D84" s="3">
        <f t="shared" si="1"/>
        <v>450</v>
      </c>
      <c r="E84" s="1">
        <v>0.42</v>
      </c>
      <c r="H84" t="str" cm="1">
        <f t="array" ref="H84">_xlfn.IFS(G84="","Unknown",G84&lt;3,"Poor rating",G84&lt;=4.4,"Average Rating",G84&gt;4.4,"Excellent Rating")</f>
        <v>Unknown</v>
      </c>
      <c r="I84" t="str" cm="1">
        <f t="array" ref="I84">_xlfn.IFS(E84&lt;20%,"Low Discount",E84&lt;=40%,"Medium Discount",E84&gt;40%,"High Discount")</f>
        <v>High Discount</v>
      </c>
    </row>
    <row r="85" spans="1:9" x14ac:dyDescent="0.3">
      <c r="A85" t="s">
        <v>53</v>
      </c>
      <c r="B85">
        <v>176</v>
      </c>
      <c r="C85">
        <v>345</v>
      </c>
      <c r="D85" s="3">
        <f t="shared" si="1"/>
        <v>169</v>
      </c>
      <c r="E85" s="1">
        <v>0.49</v>
      </c>
      <c r="H85" t="str" cm="1">
        <f t="array" ref="H85">_xlfn.IFS(G85="","Unknown",G85&lt;3,"Poor rating",G85&lt;=4.4,"Average Rating",G85&gt;4.4,"Excellent Rating")</f>
        <v>Unknown</v>
      </c>
      <c r="I85" t="str" cm="1">
        <f t="array" ref="I85">_xlfn.IFS(E85&lt;20%,"Low Discount",E85&lt;=40%,"Medium Discount",E85&gt;40%,"High Discount")</f>
        <v>High Discount</v>
      </c>
    </row>
    <row r="86" spans="1:9" x14ac:dyDescent="0.3">
      <c r="A86" t="s">
        <v>87</v>
      </c>
      <c r="B86" s="3">
        <v>1466</v>
      </c>
      <c r="C86" s="3">
        <v>1699</v>
      </c>
      <c r="D86" s="3">
        <f t="shared" si="1"/>
        <v>233</v>
      </c>
      <c r="E86" s="1">
        <v>0.14000000000000001</v>
      </c>
      <c r="H86" t="str" cm="1">
        <f t="array" ref="H86">_xlfn.IFS(G86="","Unknown",G86&lt;3,"Poor rating",G86&lt;=4.4,"Average Rating",G86&gt;4.4,"Excellent Rating")</f>
        <v>Unknown</v>
      </c>
      <c r="I86" t="str" cm="1">
        <f t="array" ref="I86">_xlfn.IFS(E86&lt;20%,"Low Discount",E86&lt;=40%,"Medium Discount",E86&gt;40%,"High Discount")</f>
        <v>Low Discount</v>
      </c>
    </row>
    <row r="87" spans="1:9" x14ac:dyDescent="0.3">
      <c r="A87" t="s">
        <v>88</v>
      </c>
      <c r="B87">
        <v>274</v>
      </c>
      <c r="C87">
        <v>537</v>
      </c>
      <c r="D87" s="3">
        <f t="shared" si="1"/>
        <v>263</v>
      </c>
      <c r="E87" s="1">
        <v>0.49</v>
      </c>
      <c r="H87" t="str" cm="1">
        <f t="array" ref="H87">_xlfn.IFS(G87="","Unknown",G87&lt;3,"Poor rating",G87&lt;=4.4,"Average Rating",G87&gt;4.4,"Excellent Rating")</f>
        <v>Unknown</v>
      </c>
      <c r="I87" t="str" cm="1">
        <f t="array" ref="I87">_xlfn.IFS(E87&lt;20%,"Low Discount",E87&lt;=40%,"Medium Discount",E87&gt;40%,"High Discount")</f>
        <v>High Discount</v>
      </c>
    </row>
    <row r="88" spans="1:9" x14ac:dyDescent="0.3">
      <c r="A88" t="s">
        <v>89</v>
      </c>
      <c r="B88">
        <v>799</v>
      </c>
      <c r="C88">
        <v>900</v>
      </c>
      <c r="D88" s="3">
        <f t="shared" si="1"/>
        <v>101</v>
      </c>
      <c r="E88" s="1">
        <v>0.11</v>
      </c>
      <c r="H88" t="str" cm="1">
        <f t="array" ref="H88">_xlfn.IFS(G88="","Unknown",G88&lt;3,"Poor rating",G88&lt;=4.4,"Average Rating",G88&gt;4.4,"Excellent Rating")</f>
        <v>Unknown</v>
      </c>
      <c r="I88" t="str" cm="1">
        <f t="array" ref="I88">_xlfn.IFS(E88&lt;20%,"Low Discount",E88&lt;=40%,"Medium Discount",E88&gt;40%,"High Discount")</f>
        <v>Low Discount</v>
      </c>
    </row>
    <row r="89" spans="1:9" x14ac:dyDescent="0.3">
      <c r="A89" t="s">
        <v>61</v>
      </c>
      <c r="B89">
        <v>657</v>
      </c>
      <c r="C89" s="3">
        <v>1288</v>
      </c>
      <c r="D89" s="3">
        <f t="shared" si="1"/>
        <v>631</v>
      </c>
      <c r="E89" s="1">
        <v>0.49</v>
      </c>
      <c r="H89" t="str" cm="1">
        <f t="array" ref="H89">_xlfn.IFS(G89="","Unknown",G89&lt;3,"Poor rating",G89&lt;=4.4,"Average Rating",G89&gt;4.4,"Excellent Rating")</f>
        <v>Unknown</v>
      </c>
      <c r="I89" t="str" cm="1">
        <f t="array" ref="I89">_xlfn.IFS(E89&lt;20%,"Low Discount",E89&lt;=40%,"Medium Discount",E89&gt;40%,"High Discount")</f>
        <v>High Discount</v>
      </c>
    </row>
    <row r="90" spans="1:9" x14ac:dyDescent="0.3">
      <c r="A90" t="s">
        <v>90</v>
      </c>
      <c r="B90" s="3">
        <v>1468</v>
      </c>
      <c r="C90" s="3">
        <v>1699</v>
      </c>
      <c r="D90" s="3">
        <f t="shared" si="1"/>
        <v>231</v>
      </c>
      <c r="E90" s="1">
        <v>0.14000000000000001</v>
      </c>
      <c r="H90" t="str" cm="1">
        <f t="array" ref="H90">_xlfn.IFS(G90="","Unknown",G90&lt;3,"Poor rating",G90&lt;=4.4,"Average Rating",G90&gt;4.4,"Excellent Rating")</f>
        <v>Unknown</v>
      </c>
      <c r="I90" t="str" cm="1">
        <f t="array" ref="I90">_xlfn.IFS(E90&lt;20%,"Low Discount",E90&lt;=40%,"Medium Discount",E90&gt;40%,"High Discount")</f>
        <v>Low Discount</v>
      </c>
    </row>
    <row r="91" spans="1:9" x14ac:dyDescent="0.3">
      <c r="A91" t="s">
        <v>91</v>
      </c>
      <c r="B91">
        <v>630</v>
      </c>
      <c r="C91" s="3">
        <v>1100</v>
      </c>
      <c r="D91" s="3">
        <f t="shared" si="1"/>
        <v>470</v>
      </c>
      <c r="E91" s="1">
        <v>0.43</v>
      </c>
      <c r="H91" t="str" cm="1">
        <f t="array" ref="H91">_xlfn.IFS(G91="","Unknown",G91&lt;3,"Poor rating",G91&lt;=4.4,"Average Rating",G91&gt;4.4,"Excellent Rating")</f>
        <v>Unknown</v>
      </c>
      <c r="I91" t="str" cm="1">
        <f t="array" ref="I91">_xlfn.IFS(E91&lt;20%,"Low Discount",E91&lt;=40%,"Medium Discount",E91&gt;40%,"High Discount")</f>
        <v>High Discount</v>
      </c>
    </row>
    <row r="92" spans="1:9" x14ac:dyDescent="0.3">
      <c r="A92" t="s">
        <v>92</v>
      </c>
      <c r="B92">
        <v>850</v>
      </c>
      <c r="C92" s="3">
        <v>1700</v>
      </c>
      <c r="D92" s="3">
        <f t="shared" si="1"/>
        <v>850</v>
      </c>
      <c r="E92" s="1">
        <v>0.5</v>
      </c>
      <c r="H92" t="str" cm="1">
        <f t="array" ref="H92">_xlfn.IFS(G92="","Unknown",G92&lt;3,"Poor rating",G92&lt;=4.4,"Average Rating",G92&gt;4.4,"Excellent Rating")</f>
        <v>Unknown</v>
      </c>
      <c r="I92" t="str" cm="1">
        <f t="array" ref="I92">_xlfn.IFS(E92&lt;20%,"Low Discount",E92&lt;=40%,"Medium Discount",E92&gt;40%,"High Discount")</f>
        <v>High Discount</v>
      </c>
    </row>
    <row r="93" spans="1:9" x14ac:dyDescent="0.3">
      <c r="A93" t="s">
        <v>93</v>
      </c>
      <c r="B93" s="3">
        <v>1300</v>
      </c>
      <c r="C93" s="3">
        <v>2500</v>
      </c>
      <c r="D93" s="3">
        <f t="shared" si="1"/>
        <v>1200</v>
      </c>
      <c r="E93" s="1">
        <v>0.48</v>
      </c>
      <c r="H93" t="str" cm="1">
        <f t="array" ref="H93">_xlfn.IFS(G93="","Unknown",G93&lt;3,"Poor rating",G93&lt;=4.4,"Average Rating",G93&gt;4.4,"Excellent Rating")</f>
        <v>Unknown</v>
      </c>
      <c r="I93" t="str" cm="1">
        <f t="array" ref="I93">_xlfn.IFS(E93&lt;20%,"Low Discount",E93&lt;=40%,"Medium Discount",E93&gt;40%,"High Discount")</f>
        <v>High Discount</v>
      </c>
    </row>
    <row r="94" spans="1:9" x14ac:dyDescent="0.3">
      <c r="A94" t="s">
        <v>94</v>
      </c>
      <c r="B94">
        <v>105</v>
      </c>
      <c r="C94">
        <v>200</v>
      </c>
      <c r="D94" s="3">
        <f t="shared" si="1"/>
        <v>95</v>
      </c>
      <c r="E94" s="1">
        <v>0.48</v>
      </c>
      <c r="H94" t="str" cm="1">
        <f t="array" ref="H94">_xlfn.IFS(G94="","Unknown",G94&lt;3,"Poor rating",G94&lt;=4.4,"Average Rating",G94&gt;4.4,"Excellent Rating")</f>
        <v>Unknown</v>
      </c>
      <c r="I94" t="str" cm="1">
        <f t="array" ref="I94">_xlfn.IFS(E94&lt;20%,"Low Discount",E94&lt;=40%,"Medium Discount",E94&gt;40%,"High Discount")</f>
        <v>High Discount</v>
      </c>
    </row>
    <row r="95" spans="1:9" x14ac:dyDescent="0.3">
      <c r="A95" t="s">
        <v>95</v>
      </c>
      <c r="B95">
        <v>899</v>
      </c>
      <c r="C95" s="3">
        <v>1699</v>
      </c>
      <c r="D95" s="3">
        <f t="shared" si="1"/>
        <v>800</v>
      </c>
      <c r="E95" s="1">
        <v>0.47</v>
      </c>
      <c r="H95" t="str" cm="1">
        <f t="array" ref="H95">_xlfn.IFS(G95="","Unknown",G95&lt;3,"Poor rating",G95&lt;=4.4,"Average Rating",G95&gt;4.4,"Excellent Rating")</f>
        <v>Unknown</v>
      </c>
      <c r="I95" t="str" cm="1">
        <f t="array" ref="I95">_xlfn.IFS(E95&lt;20%,"Low Discount",E95&lt;=40%,"Medium Discount",E95&gt;40%,"High Discount")</f>
        <v>High Discount</v>
      </c>
    </row>
    <row r="96" spans="1:9" x14ac:dyDescent="0.3">
      <c r="A96" t="s">
        <v>96</v>
      </c>
      <c r="B96" s="3">
        <v>1200</v>
      </c>
      <c r="C96" s="3">
        <v>2400</v>
      </c>
      <c r="D96" s="3">
        <f t="shared" si="1"/>
        <v>1200</v>
      </c>
      <c r="E96" s="1">
        <v>0.5</v>
      </c>
      <c r="H96" t="str" cm="1">
        <f t="array" ref="H96">_xlfn.IFS(G96="","Unknown",G96&lt;3,"Poor rating",G96&lt;=4.4,"Average Rating",G96&gt;4.4,"Excellent Rating")</f>
        <v>Unknown</v>
      </c>
      <c r="I96" t="str" cm="1">
        <f t="array" ref="I96">_xlfn.IFS(E96&lt;20%,"Low Discount",E96&lt;=40%,"Medium Discount",E96&gt;40%,"High Discount")</f>
        <v>High Discount</v>
      </c>
    </row>
    <row r="97" spans="1:9" x14ac:dyDescent="0.3">
      <c r="A97" t="s">
        <v>97</v>
      </c>
      <c r="B97" s="3">
        <v>1526</v>
      </c>
      <c r="C97" s="3">
        <v>1660</v>
      </c>
      <c r="D97" s="3">
        <f t="shared" si="1"/>
        <v>134</v>
      </c>
      <c r="E97" s="1">
        <v>0.08</v>
      </c>
      <c r="H97" t="str" cm="1">
        <f t="array" ref="H97">_xlfn.IFS(G97="","Unknown",G97&lt;3,"Poor rating",G97&lt;=4.4,"Average Rating",G97&gt;4.4,"Excellent Rating")</f>
        <v>Unknown</v>
      </c>
      <c r="I97" t="str" cm="1">
        <f t="array" ref="I97">_xlfn.IFS(E97&lt;20%,"Low Discount",E97&lt;=40%,"Medium Discount",E97&gt;40%,"High Discount")</f>
        <v>Low Discount</v>
      </c>
    </row>
    <row r="98" spans="1:9" x14ac:dyDescent="0.3">
      <c r="A98" t="s">
        <v>98</v>
      </c>
      <c r="B98" s="3">
        <v>1462</v>
      </c>
      <c r="C98" s="3">
        <v>1499</v>
      </c>
      <c r="D98" s="3">
        <f t="shared" si="1"/>
        <v>37</v>
      </c>
      <c r="E98" s="1">
        <v>0.02</v>
      </c>
      <c r="H98" t="str" cm="1">
        <f t="array" ref="H98">_xlfn.IFS(G98="","Unknown",G98&lt;3,"Poor rating",G98&lt;=4.4,"Average Rating",G98&gt;4.4,"Excellent Rating")</f>
        <v>Unknown</v>
      </c>
      <c r="I98" t="str" cm="1">
        <f t="array" ref="I98">_xlfn.IFS(E98&lt;20%,"Low Discount",E98&lt;=40%,"Medium Discount",E98&gt;40%,"High Discount")</f>
        <v>Low Discount</v>
      </c>
    </row>
    <row r="99" spans="1:9" x14ac:dyDescent="0.3">
      <c r="A99" t="s">
        <v>99</v>
      </c>
      <c r="B99">
        <v>248</v>
      </c>
      <c r="C99">
        <v>486</v>
      </c>
      <c r="D99" s="3">
        <f t="shared" si="1"/>
        <v>238</v>
      </c>
      <c r="E99" s="1">
        <v>0.49</v>
      </c>
      <c r="H99" t="str" cm="1">
        <f t="array" ref="H99">_xlfn.IFS(G99="","Unknown",G99&lt;3,"Poor rating",G99&lt;=4.4,"Average Rating",G99&gt;4.4,"Excellent Rating")</f>
        <v>Unknown</v>
      </c>
      <c r="I99" t="str" cm="1">
        <f t="array" ref="I99">_xlfn.IFS(E99&lt;20%,"Low Discount",E99&lt;=40%,"Medium Discount",E99&gt;40%,"High Discount")</f>
        <v>High Discount</v>
      </c>
    </row>
    <row r="100" spans="1:9" x14ac:dyDescent="0.3">
      <c r="A100" t="s">
        <v>100</v>
      </c>
      <c r="B100" s="3">
        <v>3546</v>
      </c>
      <c r="C100" s="3">
        <v>3699</v>
      </c>
      <c r="D100" s="3">
        <f t="shared" si="1"/>
        <v>153</v>
      </c>
      <c r="E100" s="1">
        <v>0.04</v>
      </c>
      <c r="H100" t="str" cm="1">
        <f t="array" ref="H100">_xlfn.IFS(G100="","Unknown",G100&lt;3,"Poor rating",G100&lt;=4.4,"Average Rating",G100&gt;4.4,"Excellent Rating")</f>
        <v>Unknown</v>
      </c>
      <c r="I100" t="str" cm="1">
        <f t="array" ref="I100">_xlfn.IFS(E100&lt;20%,"Low Discount",E100&lt;=40%,"Medium Discount",E100&gt;40%,"High Discount")</f>
        <v>Low Discount</v>
      </c>
    </row>
    <row r="101" spans="1:9" x14ac:dyDescent="0.3">
      <c r="A101" t="s">
        <v>101</v>
      </c>
      <c r="B101">
        <v>525</v>
      </c>
      <c r="C101" s="3">
        <v>1029</v>
      </c>
      <c r="D101" s="3">
        <f t="shared" si="1"/>
        <v>504</v>
      </c>
      <c r="E101" s="1">
        <v>0.49</v>
      </c>
      <c r="H101" t="str" cm="1">
        <f t="array" ref="H101">_xlfn.IFS(G101="","Unknown",G101&lt;3,"Poor rating",G101&lt;=4.4,"Average Rating",G101&gt;4.4,"Excellent Rating")</f>
        <v>Unknown</v>
      </c>
      <c r="I101" t="str" cm="1">
        <f t="array" ref="I101">_xlfn.IFS(E101&lt;20%,"Low Discount",E101&lt;=40%,"Medium Discount",E101&gt;40%,"High Discount")</f>
        <v>High Discount</v>
      </c>
    </row>
    <row r="102" spans="1:9" x14ac:dyDescent="0.3">
      <c r="A102" t="s">
        <v>102</v>
      </c>
      <c r="B102" s="3">
        <v>1080</v>
      </c>
      <c r="C102" s="3">
        <v>1874</v>
      </c>
      <c r="D102" s="3">
        <f t="shared" si="1"/>
        <v>794</v>
      </c>
      <c r="E102" s="1">
        <v>0.42</v>
      </c>
      <c r="H102" t="str" cm="1">
        <f t="array" ref="H102">_xlfn.IFS(G102="","Unknown",G102&lt;3,"Poor rating",G102&lt;=4.4,"Average Rating",G102&gt;4.4,"Excellent Rating")</f>
        <v>Unknown</v>
      </c>
      <c r="I102" t="str" cm="1">
        <f t="array" ref="I102">_xlfn.IFS(E102&lt;20%,"Low Discount",E102&lt;=40%,"Medium Discount",E102&gt;40%,"High Discount")</f>
        <v>High Discount</v>
      </c>
    </row>
    <row r="103" spans="1:9" x14ac:dyDescent="0.3">
      <c r="A103" t="s">
        <v>103</v>
      </c>
      <c r="B103" s="3">
        <v>3640</v>
      </c>
      <c r="C103" s="3">
        <v>4588</v>
      </c>
      <c r="D103" s="3">
        <f t="shared" si="1"/>
        <v>948</v>
      </c>
      <c r="E103" s="1">
        <v>0.21</v>
      </c>
      <c r="F103">
        <v>1</v>
      </c>
      <c r="G103">
        <v>5</v>
      </c>
      <c r="H103" t="str" cm="1">
        <f t="array" ref="H103">_xlfn.IFS(G103="","Unknown",G103&lt;3,"Poor rating",G103&lt;=4.4,"Average Rating",G103&gt;4.4,"Excellent Rating")</f>
        <v>Excellent Rating</v>
      </c>
      <c r="I103" t="str" cm="1">
        <f t="array" ref="I103">_xlfn.IFS(E103&lt;20%,"Low Discount",E103&lt;=40%,"Medium Discount",E103&gt;40%,"High Discount")</f>
        <v>Medium Discount</v>
      </c>
    </row>
    <row r="104" spans="1:9" x14ac:dyDescent="0.3">
      <c r="A104" t="s">
        <v>104</v>
      </c>
      <c r="B104" s="3">
        <v>1420</v>
      </c>
      <c r="C104" s="3">
        <v>2420</v>
      </c>
      <c r="D104" s="3">
        <f t="shared" si="1"/>
        <v>1000</v>
      </c>
      <c r="E104" s="1">
        <v>0.41</v>
      </c>
      <c r="H104" t="str" cm="1">
        <f t="array" ref="H104">_xlfn.IFS(G104="","Unknown",G104&lt;3,"Poor rating",G104&lt;=4.4,"Average Rating",G104&gt;4.4,"Excellent Rating")</f>
        <v>Unknown</v>
      </c>
      <c r="I104" t="str" cm="1">
        <f t="array" ref="I104">_xlfn.IFS(E104&lt;20%,"Low Discount",E104&lt;=40%,"Medium Discount",E104&gt;40%,"High Discount")</f>
        <v>High Discount</v>
      </c>
    </row>
    <row r="105" spans="1:9" x14ac:dyDescent="0.3">
      <c r="A105" t="s">
        <v>105</v>
      </c>
      <c r="B105" s="3">
        <v>1875</v>
      </c>
      <c r="C105" s="3">
        <v>1899</v>
      </c>
      <c r="D105" s="3">
        <f t="shared" si="1"/>
        <v>24</v>
      </c>
      <c r="E105" s="1">
        <v>0.01</v>
      </c>
      <c r="H105" t="str" cm="1">
        <f t="array" ref="H105">_xlfn.IFS(G105="","Unknown",G105&lt;3,"Poor rating",G105&lt;=4.4,"Average Rating",G105&gt;4.4,"Excellent Rating")</f>
        <v>Unknown</v>
      </c>
      <c r="I105" t="str" cm="1">
        <f t="array" ref="I105">_xlfn.IFS(E105&lt;20%,"Low Discount",E105&lt;=40%,"Medium Discount",E105&gt;40%,"High Discount")</f>
        <v>Low Discount</v>
      </c>
    </row>
    <row r="106" spans="1:9" x14ac:dyDescent="0.3">
      <c r="A106" t="s">
        <v>106</v>
      </c>
      <c r="B106">
        <v>198</v>
      </c>
      <c r="C106">
        <v>260</v>
      </c>
      <c r="D106" s="3">
        <f t="shared" si="1"/>
        <v>62</v>
      </c>
      <c r="E106" s="1">
        <v>0.24</v>
      </c>
      <c r="H106" t="str" cm="1">
        <f t="array" ref="H106">_xlfn.IFS(G106="","Unknown",G106&lt;3,"Poor rating",G106&lt;=4.4,"Average Rating",G106&gt;4.4,"Excellent Rating")</f>
        <v>Unknown</v>
      </c>
      <c r="I106" t="str" cm="1">
        <f t="array" ref="I106">_xlfn.IFS(E106&lt;20%,"Low Discount",E106&lt;=40%,"Medium Discount",E106&gt;40%,"High Discount")</f>
        <v>Medium Discount</v>
      </c>
    </row>
    <row r="107" spans="1:9" x14ac:dyDescent="0.3">
      <c r="A107" t="s">
        <v>107</v>
      </c>
      <c r="B107" s="3">
        <v>1150</v>
      </c>
      <c r="C107" s="3">
        <v>1737</v>
      </c>
      <c r="D107" s="3">
        <f t="shared" si="1"/>
        <v>587</v>
      </c>
      <c r="E107" s="1">
        <v>0.34</v>
      </c>
      <c r="H107" t="str" cm="1">
        <f t="array" ref="H107">_xlfn.IFS(G107="","Unknown",G107&lt;3,"Poor rating",G107&lt;=4.4,"Average Rating",G107&gt;4.4,"Excellent Rating")</f>
        <v>Unknown</v>
      </c>
      <c r="I107" t="str" cm="1">
        <f t="array" ref="I107">_xlfn.IFS(E107&lt;20%,"Low Discount",E107&lt;=40%,"Medium Discount",E107&gt;40%,"High Discount")</f>
        <v>Medium Discount</v>
      </c>
    </row>
    <row r="108" spans="1:9" x14ac:dyDescent="0.3">
      <c r="A108" t="s">
        <v>108</v>
      </c>
      <c r="B108" s="3">
        <v>1190</v>
      </c>
      <c r="C108" s="3">
        <v>1810</v>
      </c>
      <c r="D108" s="3">
        <f t="shared" si="1"/>
        <v>620</v>
      </c>
      <c r="E108" s="1">
        <v>0.34</v>
      </c>
      <c r="H108" t="str" cm="1">
        <f t="array" ref="H108">_xlfn.IFS(G108="","Unknown",G108&lt;3,"Poor rating",G108&lt;=4.4,"Average Rating",G108&gt;4.4,"Excellent Rating")</f>
        <v>Unknown</v>
      </c>
      <c r="I108" t="str" cm="1">
        <f t="array" ref="I108">_xlfn.IFS(E108&lt;20%,"Low Discount",E108&lt;=40%,"Medium Discount",E108&gt;40%,"High Discount")</f>
        <v>Medium Discount</v>
      </c>
    </row>
    <row r="109" spans="1:9" x14ac:dyDescent="0.3">
      <c r="A109" t="s">
        <v>109</v>
      </c>
      <c r="B109" s="3">
        <v>1658</v>
      </c>
      <c r="C109" s="3">
        <v>1699</v>
      </c>
      <c r="D109" s="3">
        <f t="shared" si="1"/>
        <v>41</v>
      </c>
      <c r="E109" s="1">
        <v>0.02</v>
      </c>
      <c r="H109" t="str" cm="1">
        <f t="array" ref="H109">_xlfn.IFS(G109="","Unknown",G109&lt;3,"Poor rating",G109&lt;=4.4,"Average Rating",G109&gt;4.4,"Excellent Rating")</f>
        <v>Unknown</v>
      </c>
      <c r="I109" t="str" cm="1">
        <f t="array" ref="I109">_xlfn.IFS(E109&lt;20%,"Low Discount",E109&lt;=40%,"Medium Discount",E109&gt;40%,"High Discount")</f>
        <v>Low Discount</v>
      </c>
    </row>
    <row r="110" spans="1:9" x14ac:dyDescent="0.3">
      <c r="A110" t="s">
        <v>110</v>
      </c>
      <c r="B110" s="3">
        <v>1768</v>
      </c>
      <c r="C110" s="3">
        <v>1799</v>
      </c>
      <c r="D110" s="3">
        <f t="shared" si="1"/>
        <v>31</v>
      </c>
      <c r="E110" s="1">
        <v>0.02</v>
      </c>
      <c r="H110" t="str" cm="1">
        <f t="array" ref="H110">_xlfn.IFS(G110="","Unknown",G110&lt;3,"Poor rating",G110&lt;=4.4,"Average Rating",G110&gt;4.4,"Excellent Rating")</f>
        <v>Unknown</v>
      </c>
      <c r="I110" t="str" cm="1">
        <f t="array" ref="I110">_xlfn.IFS(E110&lt;20%,"Low Discount",E110&lt;=40%,"Medium Discount",E110&gt;40%,"High Discount")</f>
        <v>Low Discount</v>
      </c>
    </row>
    <row r="111" spans="1:9" x14ac:dyDescent="0.3">
      <c r="A111" t="s">
        <v>111</v>
      </c>
      <c r="B111">
        <v>199</v>
      </c>
      <c r="C111">
        <v>553</v>
      </c>
      <c r="D111" s="3">
        <f t="shared" si="1"/>
        <v>354</v>
      </c>
      <c r="E111" s="1">
        <v>0.64</v>
      </c>
      <c r="H111" t="str" cm="1">
        <f t="array" ref="H111">_xlfn.IFS(G111="","Unknown",G111&lt;3,"Poor rating",G111&lt;=4.4,"Average Rating",G111&gt;4.4,"Excellent Rating")</f>
        <v>Unknown</v>
      </c>
      <c r="I111" t="str" cm="1">
        <f t="array" ref="I111">_xlfn.IFS(E111&lt;20%,"Low Discount",E111&lt;=40%,"Medium Discount",E111&gt;40%,"High Discount")</f>
        <v>High Discount</v>
      </c>
    </row>
    <row r="112" spans="1:9" x14ac:dyDescent="0.3">
      <c r="A112" t="s">
        <v>112</v>
      </c>
      <c r="B112">
        <v>450</v>
      </c>
      <c r="C112">
        <v>900</v>
      </c>
      <c r="D112" s="3">
        <f t="shared" si="1"/>
        <v>450</v>
      </c>
      <c r="E112" s="1">
        <v>0.5</v>
      </c>
      <c r="F112">
        <v>1</v>
      </c>
      <c r="G112">
        <v>2</v>
      </c>
      <c r="H112" t="str" cm="1">
        <f t="array" ref="H112">_xlfn.IFS(G112="","Unknown",G112&lt;3,"Poor rating",G112&lt;=4.4,"Average Rating",G112&gt;4.4,"Excellent Rating")</f>
        <v>Poor rating</v>
      </c>
      <c r="I112" t="str" cm="1">
        <f t="array" ref="I112">_xlfn.IFS(E112&lt;20%,"Low Discount",E112&lt;=40%,"Medium Discount",E112&gt;40%,"High Discount")</f>
        <v>High Discount</v>
      </c>
    </row>
    <row r="113" spans="1:9" x14ac:dyDescent="0.3">
      <c r="A113" t="s">
        <v>113</v>
      </c>
      <c r="B113">
        <v>169</v>
      </c>
      <c r="C113">
        <v>320</v>
      </c>
      <c r="D113" s="3">
        <f t="shared" si="1"/>
        <v>151</v>
      </c>
      <c r="E113" s="1">
        <v>0.47</v>
      </c>
      <c r="H113" t="str" cm="1">
        <f t="array" ref="H113">_xlfn.IFS(G113="","Unknown",G113&lt;3,"Poor rating",G113&lt;=4.4,"Average Rating",G113&gt;4.4,"Excellent Rating")</f>
        <v>Unknown</v>
      </c>
      <c r="I113" t="str" cm="1">
        <f t="array" ref="I113">_xlfn.IFS(E113&lt;20%,"Low Discount",E113&lt;=40%,"Medium Discount",E113&gt;40%,"High Discount")</f>
        <v>High Discount</v>
      </c>
    </row>
  </sheetData>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689E7-4FD5-4F8A-B6DF-17DBB5C7584B}">
  <dimension ref="A1:D21"/>
  <sheetViews>
    <sheetView workbookViewId="0">
      <selection activeCell="C3" sqref="C3"/>
    </sheetView>
  </sheetViews>
  <sheetFormatPr defaultRowHeight="14.4" x14ac:dyDescent="0.3"/>
  <cols>
    <col min="1" max="1" width="16" bestFit="1" customWidth="1"/>
    <col min="2" max="2" width="25.109375" customWidth="1"/>
    <col min="3" max="3" width="64.88671875" bestFit="1" customWidth="1"/>
  </cols>
  <sheetData>
    <row r="1" spans="1:4" x14ac:dyDescent="0.3">
      <c r="A1" s="48" t="s">
        <v>148</v>
      </c>
      <c r="B1" s="56" t="s">
        <v>172</v>
      </c>
    </row>
    <row r="2" spans="1:4" x14ac:dyDescent="0.3">
      <c r="A2" s="45" t="s">
        <v>149</v>
      </c>
      <c r="B2" s="47">
        <f>AVERAGE(Excel_jumia!B2:B113)</f>
        <v>1186.8928571428571</v>
      </c>
    </row>
    <row r="3" spans="1:4" x14ac:dyDescent="0.3">
      <c r="A3" s="45" t="s">
        <v>150</v>
      </c>
      <c r="B3" s="60">
        <f>AVERAGE(Excel_jumia!C2:C113)</f>
        <v>1811.1071428571429</v>
      </c>
    </row>
    <row r="4" spans="1:4" x14ac:dyDescent="0.3">
      <c r="A4" s="45" t="s">
        <v>151</v>
      </c>
      <c r="B4" s="61">
        <f>AVERAGE(Excel_jumia!E2:E113)</f>
        <v>0.36776785714285715</v>
      </c>
    </row>
    <row r="5" spans="1:4" x14ac:dyDescent="0.3">
      <c r="A5" s="51" t="s">
        <v>114</v>
      </c>
      <c r="B5" s="55">
        <f>AVERAGE(Excel_jumia!G2:G113)</f>
        <v>3.8894736842105258</v>
      </c>
    </row>
    <row r="8" spans="1:4" x14ac:dyDescent="0.3">
      <c r="A8" s="62" t="s">
        <v>152</v>
      </c>
      <c r="B8" s="63"/>
      <c r="C8" s="64"/>
      <c r="D8" s="22"/>
    </row>
    <row r="9" spans="1:4" x14ac:dyDescent="0.3">
      <c r="A9" s="18" t="s">
        <v>153</v>
      </c>
      <c r="B9" s="19">
        <f>MAX(Excel_jumia!B2:B113)</f>
        <v>3750</v>
      </c>
      <c r="C9" s="19" t="s">
        <v>71</v>
      </c>
      <c r="D9" s="17"/>
    </row>
    <row r="10" spans="1:4" x14ac:dyDescent="0.3">
      <c r="A10" s="18" t="s">
        <v>154</v>
      </c>
      <c r="B10" s="19">
        <f>MIN(Excel_jumia!B2:B113)</f>
        <v>38</v>
      </c>
      <c r="C10" s="19" t="s">
        <v>25</v>
      </c>
      <c r="D10" s="17"/>
    </row>
    <row r="12" spans="1:4" x14ac:dyDescent="0.3">
      <c r="A12" s="30" t="s">
        <v>156</v>
      </c>
      <c r="B12" s="30"/>
      <c r="C12" s="30"/>
    </row>
    <row r="13" spans="1:4" x14ac:dyDescent="0.3">
      <c r="A13" s="19"/>
      <c r="B13" s="18" t="s">
        <v>145</v>
      </c>
      <c r="C13" s="18" t="s">
        <v>155</v>
      </c>
    </row>
    <row r="14" spans="1:4" x14ac:dyDescent="0.3">
      <c r="A14" s="18" t="s">
        <v>147</v>
      </c>
      <c r="B14" s="19">
        <f>AVERAGEIF(Excel_jumia!I2:I113, "Low Discount", Excel_jumia!G2:G113)</f>
        <v>3.7249999999999996</v>
      </c>
      <c r="C14" s="23">
        <f>AVERAGEIF(Excel_jumia!I2:I113, "Low Discount", Excel_jumia!E2:E113)</f>
        <v>7.2222222222222243E-2</v>
      </c>
    </row>
    <row r="15" spans="1:4" x14ac:dyDescent="0.3">
      <c r="A15" s="18" t="s">
        <v>132</v>
      </c>
      <c r="B15" s="19">
        <f>AVERAGEIF(Excel_jumia!I2:I113, "Medium Discount", Excel_jumia!G2:G113)</f>
        <v>4.2782608695652184</v>
      </c>
      <c r="C15" s="23">
        <f>AVERAGEIF(Excel_jumia!I3:I114, "Medium Discount", Excel_jumia!E3:E114)</f>
        <v>0.30774193548387091</v>
      </c>
    </row>
    <row r="16" spans="1:4" x14ac:dyDescent="0.3">
      <c r="A16" s="18" t="s">
        <v>127</v>
      </c>
      <c r="B16" s="19">
        <f>AVERAGEIF(Excel_jumia!I2:I113, "High Discount", Excel_jumia!G2:G113)</f>
        <v>3.6133333333333324</v>
      </c>
      <c r="C16" s="23">
        <f>AVERAGEIF(Excel_jumia!I4:I115, "High Discount", Excel_jumia!E4:E115)</f>
        <v>0.48360655737704894</v>
      </c>
    </row>
    <row r="18" spans="1:2" x14ac:dyDescent="0.3">
      <c r="A18" s="31" t="s">
        <v>157</v>
      </c>
      <c r="B18" s="31"/>
    </row>
    <row r="19" spans="1:2" x14ac:dyDescent="0.3">
      <c r="A19" s="24" t="s">
        <v>158</v>
      </c>
      <c r="B19" s="19">
        <f>COUNTIF(Excel_jumia!H2:H113, "Poor Rating")</f>
        <v>12</v>
      </c>
    </row>
    <row r="20" spans="1:2" x14ac:dyDescent="0.3">
      <c r="A20" s="24" t="s">
        <v>159</v>
      </c>
      <c r="B20" s="19">
        <f>COUNTIF(Excel_jumia!H2:H113, "Excellent Rating")</f>
        <v>23</v>
      </c>
    </row>
    <row r="21" spans="1:2" x14ac:dyDescent="0.3">
      <c r="A21" s="24" t="s">
        <v>160</v>
      </c>
      <c r="B21" s="19">
        <f>COUNTIF(Excel_jumia!H2:H114, "Average Rating")</f>
        <v>22</v>
      </c>
    </row>
  </sheetData>
  <mergeCells count="3">
    <mergeCell ref="A8:C8"/>
    <mergeCell ref="A12:C12"/>
    <mergeCell ref="A18:B18"/>
  </mergeCells>
  <pageMargins left="0.7" right="0.7" top="0.75" bottom="0.75" header="0.3" footer="0.3"/>
  <pageSetup paperSize="9" orientation="portrait"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D0723-AB5F-40D5-9C2D-0DFF0EDA5E54}">
  <dimension ref="A18:J21"/>
  <sheetViews>
    <sheetView workbookViewId="0">
      <selection activeCell="M20" sqref="M20"/>
    </sheetView>
  </sheetViews>
  <sheetFormatPr defaultRowHeight="14.4" x14ac:dyDescent="0.3"/>
  <sheetData>
    <row r="18" spans="1:10" x14ac:dyDescent="0.3">
      <c r="A18" s="32" t="s">
        <v>161</v>
      </c>
      <c r="B18" s="32"/>
      <c r="C18" s="32"/>
      <c r="D18" s="32"/>
      <c r="E18" s="32"/>
      <c r="F18" s="32"/>
      <c r="G18" s="32"/>
      <c r="H18" s="32"/>
      <c r="I18" s="32"/>
      <c r="J18" s="32"/>
    </row>
    <row r="19" spans="1:10" x14ac:dyDescent="0.3">
      <c r="A19" s="32"/>
      <c r="B19" s="32"/>
      <c r="C19" s="32"/>
      <c r="D19" s="32"/>
      <c r="E19" s="32"/>
      <c r="F19" s="32"/>
      <c r="G19" s="32"/>
      <c r="H19" s="32"/>
      <c r="I19" s="32"/>
      <c r="J19" s="32"/>
    </row>
    <row r="20" spans="1:10" x14ac:dyDescent="0.3">
      <c r="A20" s="33" t="s">
        <v>162</v>
      </c>
      <c r="B20" s="33"/>
      <c r="C20" s="33"/>
      <c r="D20" s="33"/>
      <c r="E20" s="33"/>
      <c r="F20" s="33"/>
      <c r="G20" s="33"/>
      <c r="H20" s="33"/>
      <c r="I20" s="33"/>
      <c r="J20" s="33"/>
    </row>
    <row r="21" spans="1:10" x14ac:dyDescent="0.3">
      <c r="A21" s="33"/>
      <c r="B21" s="33"/>
      <c r="C21" s="33"/>
      <c r="D21" s="33"/>
      <c r="E21" s="33"/>
      <c r="F21" s="33"/>
      <c r="G21" s="33"/>
      <c r="H21" s="33"/>
      <c r="I21" s="33"/>
      <c r="J21" s="33"/>
    </row>
  </sheetData>
  <mergeCells count="2">
    <mergeCell ref="A18:J19"/>
    <mergeCell ref="A20:J21"/>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25026-2769-4874-8601-1CB7F5A74506}">
  <dimension ref="A1:I48"/>
  <sheetViews>
    <sheetView topLeftCell="A25" workbookViewId="0">
      <selection activeCell="E51" sqref="E51"/>
    </sheetView>
  </sheetViews>
  <sheetFormatPr defaultRowHeight="14.4" x14ac:dyDescent="0.3"/>
  <cols>
    <col min="1" max="1" width="63.77734375" bestFit="1" customWidth="1"/>
    <col min="2" max="2" width="13.77734375" bestFit="1" customWidth="1"/>
    <col min="3" max="3" width="11.6640625" bestFit="1" customWidth="1"/>
    <col min="4" max="4" width="17.5546875" customWidth="1"/>
    <col min="5" max="5" width="10.21875" customWidth="1"/>
    <col min="8" max="8" width="16" customWidth="1"/>
    <col min="9" max="9" width="18" customWidth="1"/>
  </cols>
  <sheetData>
    <row r="1" spans="1:9" x14ac:dyDescent="0.3">
      <c r="A1" s="18" t="s">
        <v>163</v>
      </c>
      <c r="B1" s="18"/>
      <c r="C1" s="18"/>
      <c r="D1" s="18"/>
      <c r="E1" s="18"/>
    </row>
    <row r="2" spans="1:9" x14ac:dyDescent="0.3">
      <c r="A2" s="42" t="s">
        <v>0</v>
      </c>
      <c r="B2" s="42" t="s">
        <v>1</v>
      </c>
      <c r="C2" s="42" t="s">
        <v>2</v>
      </c>
      <c r="D2" s="42" t="s">
        <v>115</v>
      </c>
      <c r="E2" s="42" t="s">
        <v>3</v>
      </c>
      <c r="F2" s="42" t="s">
        <v>4</v>
      </c>
      <c r="G2" s="42" t="s">
        <v>114</v>
      </c>
      <c r="H2" s="42" t="s">
        <v>116</v>
      </c>
      <c r="I2" s="43" t="s">
        <v>117</v>
      </c>
    </row>
    <row r="3" spans="1:9" x14ac:dyDescent="0.3">
      <c r="A3" s="36" t="s">
        <v>13</v>
      </c>
      <c r="B3" s="38">
        <v>1274</v>
      </c>
      <c r="C3" s="38">
        <v>2800</v>
      </c>
      <c r="D3" s="38">
        <v>1526</v>
      </c>
      <c r="E3" s="39">
        <v>0.55000000000000004</v>
      </c>
      <c r="F3" s="36">
        <v>5</v>
      </c>
      <c r="G3" s="36">
        <v>4.8</v>
      </c>
      <c r="H3" t="s">
        <v>130</v>
      </c>
      <c r="I3" t="s">
        <v>127</v>
      </c>
    </row>
    <row r="4" spans="1:9" x14ac:dyDescent="0.3">
      <c r="A4" s="37" t="s">
        <v>25</v>
      </c>
      <c r="B4" s="37">
        <v>38</v>
      </c>
      <c r="C4" s="37">
        <v>80</v>
      </c>
      <c r="D4" s="40">
        <v>42</v>
      </c>
      <c r="E4" s="41">
        <v>0.53</v>
      </c>
      <c r="F4" s="37">
        <v>13</v>
      </c>
      <c r="G4" s="37">
        <v>3.3</v>
      </c>
      <c r="H4" t="s">
        <v>145</v>
      </c>
      <c r="I4" t="s">
        <v>127</v>
      </c>
    </row>
    <row r="5" spans="1:9" x14ac:dyDescent="0.3">
      <c r="A5" s="36" t="s">
        <v>29</v>
      </c>
      <c r="B5" s="38">
        <v>2048</v>
      </c>
      <c r="C5" s="38">
        <v>4500</v>
      </c>
      <c r="D5" s="38">
        <v>2452</v>
      </c>
      <c r="E5" s="39">
        <v>0.54</v>
      </c>
      <c r="F5" s="36">
        <v>7</v>
      </c>
      <c r="G5" s="36">
        <v>4.3</v>
      </c>
      <c r="H5" t="s">
        <v>145</v>
      </c>
      <c r="I5" t="s">
        <v>127</v>
      </c>
    </row>
    <row r="6" spans="1:9" x14ac:dyDescent="0.3">
      <c r="A6" s="37" t="s">
        <v>35</v>
      </c>
      <c r="B6" s="37">
        <v>185</v>
      </c>
      <c r="C6" s="37">
        <v>382</v>
      </c>
      <c r="D6" s="40">
        <v>197</v>
      </c>
      <c r="E6" s="41">
        <v>0.52</v>
      </c>
      <c r="F6" s="37">
        <v>9</v>
      </c>
      <c r="G6" s="37">
        <v>4.3</v>
      </c>
      <c r="H6" t="s">
        <v>145</v>
      </c>
      <c r="I6" t="s">
        <v>127</v>
      </c>
    </row>
    <row r="7" spans="1:9" x14ac:dyDescent="0.3">
      <c r="A7" s="36" t="s">
        <v>41</v>
      </c>
      <c r="B7" s="36">
        <v>171</v>
      </c>
      <c r="C7" s="36">
        <v>360</v>
      </c>
      <c r="D7" s="38">
        <v>189</v>
      </c>
      <c r="E7" s="39">
        <v>0.53</v>
      </c>
      <c r="F7" s="36">
        <v>2</v>
      </c>
      <c r="G7" s="36">
        <v>5</v>
      </c>
      <c r="H7" t="s">
        <v>130</v>
      </c>
      <c r="I7" t="s">
        <v>127</v>
      </c>
    </row>
    <row r="8" spans="1:9" x14ac:dyDescent="0.3">
      <c r="A8" s="37" t="s">
        <v>53</v>
      </c>
      <c r="B8" s="37">
        <v>199</v>
      </c>
      <c r="C8" s="37">
        <v>504</v>
      </c>
      <c r="D8" s="40">
        <v>305</v>
      </c>
      <c r="E8" s="41">
        <v>0.61</v>
      </c>
      <c r="F8" s="37"/>
      <c r="G8" s="37"/>
      <c r="H8" t="s">
        <v>169</v>
      </c>
      <c r="I8" t="s">
        <v>127</v>
      </c>
    </row>
    <row r="9" spans="1:9" x14ac:dyDescent="0.3">
      <c r="A9" s="36" t="s">
        <v>59</v>
      </c>
      <c r="B9" s="36">
        <v>399</v>
      </c>
      <c r="C9" s="36">
        <v>896</v>
      </c>
      <c r="D9" s="38">
        <v>497</v>
      </c>
      <c r="E9" s="39">
        <v>0.55000000000000004</v>
      </c>
      <c r="F9" s="36"/>
      <c r="G9" s="36"/>
      <c r="H9" t="s">
        <v>169</v>
      </c>
      <c r="I9" t="s">
        <v>127</v>
      </c>
    </row>
    <row r="10" spans="1:9" x14ac:dyDescent="0.3">
      <c r="A10" s="37" t="s">
        <v>64</v>
      </c>
      <c r="B10" s="37">
        <v>458</v>
      </c>
      <c r="C10" s="37">
        <v>986</v>
      </c>
      <c r="D10" s="40">
        <v>528</v>
      </c>
      <c r="E10" s="41">
        <v>0.54</v>
      </c>
      <c r="F10" s="37">
        <v>10</v>
      </c>
      <c r="G10" s="37">
        <v>3</v>
      </c>
      <c r="H10" t="s">
        <v>145</v>
      </c>
      <c r="I10" t="s">
        <v>127</v>
      </c>
    </row>
    <row r="11" spans="1:9" x14ac:dyDescent="0.3">
      <c r="A11" s="36" t="s">
        <v>65</v>
      </c>
      <c r="B11" s="38">
        <v>2115</v>
      </c>
      <c r="C11" s="38">
        <v>4700</v>
      </c>
      <c r="D11" s="38">
        <v>2585</v>
      </c>
      <c r="E11" s="39">
        <v>0.55000000000000004</v>
      </c>
      <c r="F11" s="36">
        <v>13</v>
      </c>
      <c r="G11" s="36">
        <v>2.1</v>
      </c>
      <c r="H11" t="s">
        <v>146</v>
      </c>
      <c r="I11" t="s">
        <v>127</v>
      </c>
    </row>
    <row r="12" spans="1:9" x14ac:dyDescent="0.3">
      <c r="A12" s="37" t="s">
        <v>67</v>
      </c>
      <c r="B12" s="37">
        <v>325</v>
      </c>
      <c r="C12" s="37">
        <v>680</v>
      </c>
      <c r="D12" s="40">
        <v>355</v>
      </c>
      <c r="E12" s="41">
        <v>0.52</v>
      </c>
      <c r="F12" s="37">
        <v>15</v>
      </c>
      <c r="G12" s="37">
        <v>2.7</v>
      </c>
      <c r="H12" t="s">
        <v>146</v>
      </c>
      <c r="I12" t="s">
        <v>127</v>
      </c>
    </row>
    <row r="13" spans="1:9" x14ac:dyDescent="0.3">
      <c r="A13" s="36" t="s">
        <v>111</v>
      </c>
      <c r="B13" s="36">
        <v>199</v>
      </c>
      <c r="C13" s="36">
        <v>553</v>
      </c>
      <c r="D13" s="38">
        <v>354</v>
      </c>
      <c r="E13" s="39">
        <v>0.64</v>
      </c>
      <c r="F13" s="36"/>
      <c r="G13" s="36"/>
      <c r="H13" t="s">
        <v>169</v>
      </c>
      <c r="I13" t="s">
        <v>127</v>
      </c>
    </row>
    <row r="14" spans="1:9" x14ac:dyDescent="0.3">
      <c r="A14" s="34" t="s">
        <v>164</v>
      </c>
      <c r="B14" s="35"/>
      <c r="C14" s="35"/>
      <c r="D14" s="35"/>
      <c r="E14" s="35"/>
      <c r="F14" s="35"/>
      <c r="G14" s="35"/>
      <c r="H14" s="35"/>
      <c r="I14" s="35"/>
    </row>
    <row r="15" spans="1:9" x14ac:dyDescent="0.3">
      <c r="A15" s="48" t="s">
        <v>0</v>
      </c>
      <c r="B15" s="49" t="s">
        <v>1</v>
      </c>
      <c r="C15" s="49" t="s">
        <v>2</v>
      </c>
      <c r="D15" s="49" t="s">
        <v>115</v>
      </c>
      <c r="E15" s="49" t="s">
        <v>3</v>
      </c>
      <c r="F15" s="49" t="s">
        <v>4</v>
      </c>
      <c r="G15" s="49" t="s">
        <v>114</v>
      </c>
      <c r="H15" s="49" t="s">
        <v>116</v>
      </c>
      <c r="I15" s="50" t="s">
        <v>117</v>
      </c>
    </row>
    <row r="16" spans="1:9" x14ac:dyDescent="0.3">
      <c r="A16" s="45" t="s">
        <v>66</v>
      </c>
      <c r="B16" s="19">
        <v>445</v>
      </c>
      <c r="C16" s="19">
        <v>873</v>
      </c>
      <c r="D16" s="20">
        <v>428</v>
      </c>
      <c r="E16" s="21">
        <v>0.49</v>
      </c>
      <c r="F16" s="19">
        <v>69</v>
      </c>
      <c r="G16" s="19">
        <v>2.8</v>
      </c>
      <c r="H16" s="19" t="s">
        <v>146</v>
      </c>
      <c r="I16" s="47" t="s">
        <v>127</v>
      </c>
    </row>
    <row r="17" spans="1:9" x14ac:dyDescent="0.3">
      <c r="A17" s="45" t="s">
        <v>11</v>
      </c>
      <c r="B17" s="20">
        <v>2319</v>
      </c>
      <c r="C17" s="20">
        <v>3032</v>
      </c>
      <c r="D17" s="20">
        <v>713</v>
      </c>
      <c r="E17" s="21">
        <v>0.24</v>
      </c>
      <c r="F17" s="19">
        <v>55</v>
      </c>
      <c r="G17" s="19">
        <v>4.5999999999999996</v>
      </c>
      <c r="H17" s="19" t="s">
        <v>130</v>
      </c>
      <c r="I17" s="47" t="s">
        <v>132</v>
      </c>
    </row>
    <row r="18" spans="1:9" x14ac:dyDescent="0.3">
      <c r="A18" s="45" t="s">
        <v>30</v>
      </c>
      <c r="B18" s="19">
        <v>420</v>
      </c>
      <c r="C18" s="19">
        <v>647</v>
      </c>
      <c r="D18" s="20">
        <v>227</v>
      </c>
      <c r="E18" s="21">
        <v>0.35</v>
      </c>
      <c r="F18" s="19">
        <v>49</v>
      </c>
      <c r="G18" s="19">
        <v>4.5999999999999996</v>
      </c>
      <c r="H18" s="19" t="s">
        <v>130</v>
      </c>
      <c r="I18" s="47" t="s">
        <v>132</v>
      </c>
    </row>
    <row r="19" spans="1:9" x14ac:dyDescent="0.3">
      <c r="A19" s="45" t="s">
        <v>24</v>
      </c>
      <c r="B19" s="19">
        <v>998</v>
      </c>
      <c r="C19" s="20">
        <v>1966</v>
      </c>
      <c r="D19" s="20">
        <v>968</v>
      </c>
      <c r="E19" s="21">
        <v>0.49</v>
      </c>
      <c r="F19" s="19">
        <v>44</v>
      </c>
      <c r="G19" s="19">
        <v>4.5999999999999996</v>
      </c>
      <c r="H19" s="19" t="s">
        <v>130</v>
      </c>
      <c r="I19" s="47" t="s">
        <v>127</v>
      </c>
    </row>
    <row r="20" spans="1:9" x14ac:dyDescent="0.3">
      <c r="A20" s="45" t="s">
        <v>16</v>
      </c>
      <c r="B20" s="19">
        <v>990</v>
      </c>
      <c r="C20" s="20">
        <v>1500</v>
      </c>
      <c r="D20" s="20">
        <v>510</v>
      </c>
      <c r="E20" s="21">
        <v>0.34</v>
      </c>
      <c r="F20" s="19">
        <v>39</v>
      </c>
      <c r="G20" s="19">
        <v>4.7</v>
      </c>
      <c r="H20" s="19" t="s">
        <v>130</v>
      </c>
      <c r="I20" s="47" t="s">
        <v>132</v>
      </c>
    </row>
    <row r="21" spans="1:9" x14ac:dyDescent="0.3">
      <c r="A21" s="45" t="s">
        <v>42</v>
      </c>
      <c r="B21" s="19">
        <v>389</v>
      </c>
      <c r="C21" s="19">
        <v>656</v>
      </c>
      <c r="D21" s="20">
        <v>267</v>
      </c>
      <c r="E21" s="21">
        <v>0.41</v>
      </c>
      <c r="F21" s="19">
        <v>36</v>
      </c>
      <c r="G21" s="19">
        <v>4.3</v>
      </c>
      <c r="H21" s="19" t="s">
        <v>145</v>
      </c>
      <c r="I21" s="47" t="s">
        <v>127</v>
      </c>
    </row>
    <row r="22" spans="1:9" x14ac:dyDescent="0.3">
      <c r="A22" s="45" t="s">
        <v>39</v>
      </c>
      <c r="B22" s="20">
        <v>1980</v>
      </c>
      <c r="C22" s="20">
        <v>2699</v>
      </c>
      <c r="D22" s="20">
        <v>719</v>
      </c>
      <c r="E22" s="21">
        <v>0.27</v>
      </c>
      <c r="F22" s="19">
        <v>32</v>
      </c>
      <c r="G22" s="19">
        <v>4.5</v>
      </c>
      <c r="H22" s="19" t="s">
        <v>130</v>
      </c>
      <c r="I22" s="47" t="s">
        <v>132</v>
      </c>
    </row>
    <row r="23" spans="1:9" x14ac:dyDescent="0.3">
      <c r="A23" s="45" t="s">
        <v>7</v>
      </c>
      <c r="B23" s="20">
        <v>2199</v>
      </c>
      <c r="C23" s="20">
        <v>2923</v>
      </c>
      <c r="D23" s="20">
        <v>724</v>
      </c>
      <c r="E23" s="21">
        <v>0.25</v>
      </c>
      <c r="F23" s="19">
        <v>24</v>
      </c>
      <c r="G23" s="19">
        <v>4.5999999999999996</v>
      </c>
      <c r="H23" s="19" t="s">
        <v>130</v>
      </c>
      <c r="I23" s="47" t="s">
        <v>132</v>
      </c>
    </row>
    <row r="24" spans="1:9" x14ac:dyDescent="0.3">
      <c r="A24" s="45" t="s">
        <v>33</v>
      </c>
      <c r="B24" s="20">
        <v>1758</v>
      </c>
      <c r="C24" s="20">
        <v>2499</v>
      </c>
      <c r="D24" s="20">
        <v>741</v>
      </c>
      <c r="E24" s="21">
        <v>0.3</v>
      </c>
      <c r="F24" s="19">
        <v>20</v>
      </c>
      <c r="G24" s="19">
        <v>4.0999999999999996</v>
      </c>
      <c r="H24" s="19" t="s">
        <v>145</v>
      </c>
      <c r="I24" s="47" t="s">
        <v>132</v>
      </c>
    </row>
    <row r="25" spans="1:9" x14ac:dyDescent="0.3">
      <c r="A25" s="45" t="s">
        <v>38</v>
      </c>
      <c r="B25" s="20">
        <v>1940</v>
      </c>
      <c r="C25" s="20">
        <v>2650</v>
      </c>
      <c r="D25" s="20">
        <v>710</v>
      </c>
      <c r="E25" s="21">
        <v>0.27</v>
      </c>
      <c r="F25" s="19">
        <v>20</v>
      </c>
      <c r="G25" s="19">
        <v>4.7</v>
      </c>
      <c r="H25" s="19" t="s">
        <v>130</v>
      </c>
      <c r="I25" s="47" t="s">
        <v>132</v>
      </c>
    </row>
    <row r="26" spans="1:9" x14ac:dyDescent="0.3">
      <c r="A26" s="51" t="s">
        <v>72</v>
      </c>
      <c r="B26" s="52">
        <v>382</v>
      </c>
      <c r="C26" s="52">
        <v>700</v>
      </c>
      <c r="D26" s="53">
        <v>318</v>
      </c>
      <c r="E26" s="54">
        <v>0.45</v>
      </c>
      <c r="F26" s="52">
        <v>17</v>
      </c>
      <c r="G26" s="52">
        <v>2.6</v>
      </c>
      <c r="H26" s="52" t="s">
        <v>146</v>
      </c>
      <c r="I26" s="55" t="s">
        <v>127</v>
      </c>
    </row>
    <row r="28" spans="1:9" x14ac:dyDescent="0.3">
      <c r="A28" s="35" t="s">
        <v>165</v>
      </c>
      <c r="B28" s="35"/>
      <c r="C28" s="35"/>
      <c r="D28" s="35"/>
      <c r="E28" s="35"/>
      <c r="F28" s="35"/>
      <c r="G28" s="35"/>
      <c r="H28" s="35"/>
      <c r="I28" s="35"/>
    </row>
    <row r="29" spans="1:9" x14ac:dyDescent="0.3">
      <c r="A29" s="48" t="s">
        <v>0</v>
      </c>
      <c r="B29" s="49" t="s">
        <v>1</v>
      </c>
      <c r="C29" s="49" t="s">
        <v>2</v>
      </c>
      <c r="D29" s="49" t="s">
        <v>115</v>
      </c>
      <c r="E29" s="49" t="s">
        <v>3</v>
      </c>
      <c r="F29" s="49" t="s">
        <v>4</v>
      </c>
      <c r="G29" s="49" t="s">
        <v>114</v>
      </c>
      <c r="H29" s="49" t="s">
        <v>116</v>
      </c>
      <c r="I29" s="50" t="s">
        <v>117</v>
      </c>
    </row>
    <row r="30" spans="1:9" x14ac:dyDescent="0.3">
      <c r="A30" s="45" t="s">
        <v>7</v>
      </c>
      <c r="B30" s="20">
        <v>2199</v>
      </c>
      <c r="C30" s="20">
        <v>2923</v>
      </c>
      <c r="D30" s="20">
        <v>724</v>
      </c>
      <c r="E30" s="21">
        <v>0.25</v>
      </c>
      <c r="F30" s="19">
        <v>24</v>
      </c>
      <c r="G30" s="19">
        <v>4.5999999999999996</v>
      </c>
      <c r="H30" s="19" t="s">
        <v>130</v>
      </c>
      <c r="I30" s="47" t="s">
        <v>132</v>
      </c>
    </row>
    <row r="31" spans="1:9" x14ac:dyDescent="0.3">
      <c r="A31" s="45" t="s">
        <v>11</v>
      </c>
      <c r="B31" s="20">
        <v>2319</v>
      </c>
      <c r="C31" s="20">
        <v>3032</v>
      </c>
      <c r="D31" s="20">
        <v>713</v>
      </c>
      <c r="E31" s="21">
        <v>0.24</v>
      </c>
      <c r="F31" s="19">
        <v>55</v>
      </c>
      <c r="G31" s="19">
        <v>4.5999999999999996</v>
      </c>
      <c r="H31" s="19" t="s">
        <v>130</v>
      </c>
      <c r="I31" s="47" t="s">
        <v>132</v>
      </c>
    </row>
    <row r="32" spans="1:9" x14ac:dyDescent="0.3">
      <c r="A32" s="45" t="s">
        <v>16</v>
      </c>
      <c r="B32" s="19">
        <v>990</v>
      </c>
      <c r="C32" s="20">
        <v>1500</v>
      </c>
      <c r="D32" s="20">
        <v>510</v>
      </c>
      <c r="E32" s="21">
        <v>0.34</v>
      </c>
      <c r="F32" s="19">
        <v>39</v>
      </c>
      <c r="G32" s="19">
        <v>4.7</v>
      </c>
      <c r="H32" s="19" t="s">
        <v>130</v>
      </c>
      <c r="I32" s="47" t="s">
        <v>132</v>
      </c>
    </row>
    <row r="33" spans="1:9" x14ac:dyDescent="0.3">
      <c r="A33" s="45" t="s">
        <v>24</v>
      </c>
      <c r="B33" s="19">
        <v>998</v>
      </c>
      <c r="C33" s="20">
        <v>1966</v>
      </c>
      <c r="D33" s="20">
        <v>968</v>
      </c>
      <c r="E33" s="21">
        <v>0.49</v>
      </c>
      <c r="F33" s="19">
        <v>44</v>
      </c>
      <c r="G33" s="19">
        <v>4.5999999999999996</v>
      </c>
      <c r="H33" s="19" t="s">
        <v>130</v>
      </c>
      <c r="I33" s="47" t="s">
        <v>127</v>
      </c>
    </row>
    <row r="34" spans="1:9" x14ac:dyDescent="0.3">
      <c r="A34" s="45" t="s">
        <v>30</v>
      </c>
      <c r="B34" s="19">
        <v>420</v>
      </c>
      <c r="C34" s="19">
        <v>647</v>
      </c>
      <c r="D34" s="20">
        <v>227</v>
      </c>
      <c r="E34" s="21">
        <v>0.35</v>
      </c>
      <c r="F34" s="19">
        <v>49</v>
      </c>
      <c r="G34" s="19">
        <v>4.5999999999999996</v>
      </c>
      <c r="H34" s="19" t="s">
        <v>130</v>
      </c>
      <c r="I34" s="47" t="s">
        <v>132</v>
      </c>
    </row>
    <row r="35" spans="1:9" x14ac:dyDescent="0.3">
      <c r="A35" s="51" t="s">
        <v>38</v>
      </c>
      <c r="B35" s="53">
        <v>1940</v>
      </c>
      <c r="C35" s="53">
        <v>2650</v>
      </c>
      <c r="D35" s="53">
        <v>710</v>
      </c>
      <c r="E35" s="54">
        <v>0.27</v>
      </c>
      <c r="F35" s="52">
        <v>20</v>
      </c>
      <c r="G35" s="52">
        <v>4.7</v>
      </c>
      <c r="H35" s="52" t="s">
        <v>130</v>
      </c>
      <c r="I35" s="55" t="s">
        <v>132</v>
      </c>
    </row>
    <row r="37" spans="1:9" x14ac:dyDescent="0.3">
      <c r="A37" s="35" t="s">
        <v>166</v>
      </c>
      <c r="B37" s="35"/>
      <c r="C37" s="35"/>
      <c r="D37" s="35"/>
      <c r="E37" s="35"/>
      <c r="F37" s="35"/>
      <c r="G37" s="35"/>
      <c r="H37" s="35"/>
      <c r="I37" s="35"/>
    </row>
    <row r="38" spans="1:9" x14ac:dyDescent="0.3">
      <c r="A38" s="48" t="s">
        <v>0</v>
      </c>
      <c r="B38" s="49" t="s">
        <v>1</v>
      </c>
      <c r="C38" s="49" t="s">
        <v>2</v>
      </c>
      <c r="D38" s="49" t="s">
        <v>115</v>
      </c>
      <c r="E38" s="49" t="s">
        <v>3</v>
      </c>
      <c r="F38" s="49" t="s">
        <v>4</v>
      </c>
      <c r="G38" s="49" t="s">
        <v>114</v>
      </c>
      <c r="H38" s="49" t="s">
        <v>116</v>
      </c>
      <c r="I38" s="50" t="s">
        <v>117</v>
      </c>
    </row>
    <row r="39" spans="1:9" x14ac:dyDescent="0.3">
      <c r="A39" s="45" t="s">
        <v>33</v>
      </c>
      <c r="B39" s="20">
        <v>1758</v>
      </c>
      <c r="C39" s="20">
        <v>2499</v>
      </c>
      <c r="D39" s="20">
        <v>741</v>
      </c>
      <c r="E39" s="21">
        <v>0.3</v>
      </c>
      <c r="F39" s="19">
        <v>20</v>
      </c>
      <c r="G39" s="19">
        <v>4.0999999999999996</v>
      </c>
      <c r="H39" s="19" t="s">
        <v>145</v>
      </c>
      <c r="I39" s="47" t="s">
        <v>132</v>
      </c>
    </row>
    <row r="40" spans="1:9" x14ac:dyDescent="0.3">
      <c r="A40" s="45" t="s">
        <v>39</v>
      </c>
      <c r="B40" s="20">
        <v>1980</v>
      </c>
      <c r="C40" s="20">
        <v>2699</v>
      </c>
      <c r="D40" s="20">
        <v>719</v>
      </c>
      <c r="E40" s="21">
        <v>0.27</v>
      </c>
      <c r="F40" s="19">
        <v>32</v>
      </c>
      <c r="G40" s="19">
        <v>4.5</v>
      </c>
      <c r="H40" s="19" t="s">
        <v>130</v>
      </c>
      <c r="I40" s="47" t="s">
        <v>132</v>
      </c>
    </row>
    <row r="41" spans="1:9" x14ac:dyDescent="0.3">
      <c r="A41" s="45" t="s">
        <v>42</v>
      </c>
      <c r="B41" s="19">
        <v>389</v>
      </c>
      <c r="C41" s="19">
        <v>656</v>
      </c>
      <c r="D41" s="20">
        <v>267</v>
      </c>
      <c r="E41" s="21">
        <v>0.41</v>
      </c>
      <c r="F41" s="19">
        <v>36</v>
      </c>
      <c r="G41" s="19">
        <v>4.3</v>
      </c>
      <c r="H41" s="19" t="s">
        <v>145</v>
      </c>
      <c r="I41" s="47" t="s">
        <v>127</v>
      </c>
    </row>
    <row r="42" spans="1:9" x14ac:dyDescent="0.3">
      <c r="A42" s="45" t="s">
        <v>66</v>
      </c>
      <c r="B42" s="19">
        <v>445</v>
      </c>
      <c r="C42" s="19">
        <v>873</v>
      </c>
      <c r="D42" s="20">
        <v>428</v>
      </c>
      <c r="E42" s="21">
        <v>0.49</v>
      </c>
      <c r="F42" s="19">
        <v>69</v>
      </c>
      <c r="G42" s="19">
        <v>2.8</v>
      </c>
      <c r="H42" s="19" t="s">
        <v>146</v>
      </c>
      <c r="I42" s="47" t="s">
        <v>127</v>
      </c>
    </row>
    <row r="43" spans="1:9" x14ac:dyDescent="0.3">
      <c r="A43" s="51" t="s">
        <v>72</v>
      </c>
      <c r="B43" s="52">
        <v>382</v>
      </c>
      <c r="C43" s="52">
        <v>700</v>
      </c>
      <c r="D43" s="53">
        <v>318</v>
      </c>
      <c r="E43" s="54">
        <v>0.45</v>
      </c>
      <c r="F43" s="52">
        <v>17</v>
      </c>
      <c r="G43" s="52">
        <v>2.6</v>
      </c>
      <c r="H43" s="52" t="s">
        <v>146</v>
      </c>
      <c r="I43" s="55" t="s">
        <v>127</v>
      </c>
    </row>
    <row r="45" spans="1:9" x14ac:dyDescent="0.3">
      <c r="A45" s="57" t="s">
        <v>168</v>
      </c>
      <c r="B45" s="58" t="s">
        <v>170</v>
      </c>
      <c r="C45" s="28" t="s">
        <v>171</v>
      </c>
    </row>
    <row r="46" spans="1:9" x14ac:dyDescent="0.3">
      <c r="A46" s="44" t="s">
        <v>117</v>
      </c>
      <c r="B46" s="18" t="s">
        <v>145</v>
      </c>
      <c r="C46" s="46" t="s">
        <v>167</v>
      </c>
    </row>
    <row r="47" spans="1:9" x14ac:dyDescent="0.3">
      <c r="A47" s="44" t="s">
        <v>147</v>
      </c>
      <c r="B47" s="19">
        <f>AVERAGEIF(Excel_jumia!I35:I146, "Low Discount", Excel_jumia!G35:G146)</f>
        <v>2.5</v>
      </c>
      <c r="C47" s="47">
        <f>SUMIF(Excel_jumia!I2:I113, "Low Discount", Excel_jumia!F2:F113)</f>
        <v>38</v>
      </c>
    </row>
    <row r="48" spans="1:9" x14ac:dyDescent="0.3">
      <c r="A48" s="59" t="s">
        <v>127</v>
      </c>
      <c r="B48" s="52">
        <f>AVERAGEIF(Excel_jumia!I35:I146, "High Discount", Excel_jumia!G35:G146)</f>
        <v>2.9764705882352942</v>
      </c>
      <c r="C48" s="55">
        <f>SUMIF(Excel_jumia!I2:I113, "High Discount", Excel_jumia!F2:F113)</f>
        <v>334</v>
      </c>
    </row>
  </sheetData>
  <sortState xmlns:xlrd2="http://schemas.microsoft.com/office/spreadsheetml/2017/richdata2" ref="A16:I26">
    <sortCondition descending="1" ref="F16:F26"/>
  </sortState>
  <mergeCells count="3">
    <mergeCell ref="A14:I14"/>
    <mergeCell ref="A28:I28"/>
    <mergeCell ref="A37:I37"/>
  </mergeCells>
  <pageMargins left="0.7" right="0.7" top="0.75" bottom="0.75" header="0.3" footer="0.3"/>
  <pageSetup paperSize="9" orientation="portrait" r:id="rId1"/>
  <tableParts count="5">
    <tablePart r:id="rId2"/>
    <tablePart r:id="rId3"/>
    <tablePart r:id="rId4"/>
    <tablePart r:id="rId5"/>
    <tablePart r:id="rId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Dashboard</vt:lpstr>
      <vt:lpstr>Sheet1</vt:lpstr>
      <vt:lpstr>Sheet2</vt:lpstr>
      <vt:lpstr>Sheet9</vt:lpstr>
      <vt:lpstr>Sheet10</vt:lpstr>
      <vt:lpstr>Sheet11</vt:lpstr>
      <vt:lpstr>Sheet12</vt:lpstr>
      <vt:lpstr>Sheet13</vt:lpstr>
      <vt:lpstr>Sheet14</vt:lpstr>
      <vt:lpstr>Sheet17</vt:lpstr>
      <vt:lpstr>Excel_jumia</vt:lpstr>
      <vt:lpstr>Data Analysis</vt:lpstr>
      <vt:lpstr>Trend Analysis</vt:lpstr>
      <vt:lpstr>Product performance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Collins Ochola</dc:creator>
  <cp:lastModifiedBy>Collins Ochola</cp:lastModifiedBy>
  <dcterms:created xsi:type="dcterms:W3CDTF">2026-03-27T13:49:11Z</dcterms:created>
  <dcterms:modified xsi:type="dcterms:W3CDTF">2026-03-30T09:44:02Z</dcterms:modified>
</cp:coreProperties>
</file>